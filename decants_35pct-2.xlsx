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guelsanchez-guerreromar/Downloads/"/>
    </mc:Choice>
  </mc:AlternateContent>
  <xr:revisionPtr revIDLastSave="0" documentId="13_ncr:1_{614640B1-80C6-C847-96DA-F1A28A42A93A}" xr6:coauthVersionLast="47" xr6:coauthVersionMax="47" xr10:uidLastSave="{00000000-0000-0000-0000-000000000000}"/>
  <bookViews>
    <workbookView xWindow="240" yWindow="620" windowWidth="26800" windowHeight="16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F110" i="1" s="1"/>
  <c r="J111" i="1"/>
  <c r="J112" i="1"/>
  <c r="J113" i="1"/>
  <c r="J114" i="1"/>
  <c r="J115" i="1"/>
  <c r="J116" i="1"/>
  <c r="J117" i="1"/>
  <c r="J118" i="1"/>
  <c r="J119" i="1"/>
  <c r="J120" i="1"/>
  <c r="F120" i="1" s="1"/>
  <c r="J121" i="1"/>
  <c r="J122" i="1"/>
  <c r="J123" i="1"/>
  <c r="J124" i="1"/>
  <c r="J125" i="1"/>
  <c r="J126" i="1"/>
  <c r="J127" i="1"/>
  <c r="J128" i="1"/>
  <c r="J129" i="1"/>
  <c r="J130" i="1"/>
  <c r="F130" i="1" s="1"/>
  <c r="J131" i="1"/>
  <c r="J132" i="1"/>
  <c r="J133" i="1"/>
  <c r="J134" i="1"/>
  <c r="J135" i="1"/>
  <c r="J136" i="1"/>
  <c r="J137" i="1"/>
  <c r="J138" i="1"/>
  <c r="F138" i="1" s="1"/>
  <c r="J139" i="1"/>
  <c r="J140" i="1"/>
  <c r="J141" i="1"/>
  <c r="J142" i="1"/>
  <c r="J143" i="1"/>
  <c r="J144" i="1"/>
  <c r="J145" i="1"/>
  <c r="F145" i="1" s="1"/>
  <c r="J146" i="1"/>
  <c r="J147" i="1"/>
  <c r="J148" i="1"/>
  <c r="J149" i="1"/>
  <c r="J150" i="1"/>
  <c r="J151" i="1"/>
  <c r="J152" i="1"/>
  <c r="J153" i="1"/>
  <c r="J154" i="1"/>
  <c r="J155" i="1"/>
  <c r="F155" i="1" s="1"/>
  <c r="J156" i="1"/>
  <c r="J157" i="1"/>
  <c r="J158" i="1"/>
  <c r="J159" i="1"/>
  <c r="J160" i="1"/>
  <c r="J161" i="1"/>
  <c r="J162" i="1"/>
  <c r="J163" i="1"/>
  <c r="J164" i="1"/>
  <c r="J165" i="1"/>
  <c r="F165" i="1" s="1"/>
  <c r="J166" i="1"/>
  <c r="J167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F141" i="1"/>
  <c r="L141" i="1"/>
  <c r="N141" i="1"/>
  <c r="O141" i="1"/>
  <c r="G141" i="1"/>
  <c r="P141" i="1"/>
  <c r="R141" i="1"/>
  <c r="S141" i="1"/>
  <c r="T141" i="1"/>
  <c r="H141" i="1" s="1"/>
  <c r="F140" i="1"/>
  <c r="L140" i="1"/>
  <c r="N140" i="1"/>
  <c r="O140" i="1"/>
  <c r="G140" i="1"/>
  <c r="P140" i="1"/>
  <c r="R140" i="1"/>
  <c r="S140" i="1"/>
  <c r="T140" i="1"/>
  <c r="H140" i="1" s="1"/>
  <c r="F139" i="1"/>
  <c r="L139" i="1"/>
  <c r="N139" i="1"/>
  <c r="O139" i="1"/>
  <c r="G139" i="1" s="1"/>
  <c r="P139" i="1"/>
  <c r="R139" i="1"/>
  <c r="S139" i="1"/>
  <c r="T139" i="1"/>
  <c r="H139" i="1" s="1"/>
  <c r="L138" i="1"/>
  <c r="N138" i="1"/>
  <c r="O138" i="1"/>
  <c r="G138" i="1" s="1"/>
  <c r="P138" i="1"/>
  <c r="R138" i="1"/>
  <c r="S138" i="1"/>
  <c r="T138" i="1"/>
  <c r="H138" i="1" s="1"/>
  <c r="F137" i="1"/>
  <c r="L137" i="1"/>
  <c r="N137" i="1"/>
  <c r="O137" i="1"/>
  <c r="G137" i="1" s="1"/>
  <c r="P137" i="1"/>
  <c r="R137" i="1"/>
  <c r="S137" i="1"/>
  <c r="T137" i="1"/>
  <c r="H137" i="1" s="1"/>
  <c r="T167" i="1"/>
  <c r="H167" i="1" s="1"/>
  <c r="T166" i="1"/>
  <c r="H166" i="1" s="1"/>
  <c r="T165" i="1"/>
  <c r="H165" i="1" s="1"/>
  <c r="T164" i="1"/>
  <c r="H164" i="1" s="1"/>
  <c r="T163" i="1"/>
  <c r="H163" i="1" s="1"/>
  <c r="T162" i="1"/>
  <c r="H162" i="1" s="1"/>
  <c r="T161" i="1"/>
  <c r="H161" i="1" s="1"/>
  <c r="T160" i="1"/>
  <c r="H160" i="1" s="1"/>
  <c r="T159" i="1"/>
  <c r="H159" i="1" s="1"/>
  <c r="T158" i="1"/>
  <c r="H158" i="1" s="1"/>
  <c r="T157" i="1"/>
  <c r="H157" i="1" s="1"/>
  <c r="T156" i="1"/>
  <c r="H156" i="1" s="1"/>
  <c r="T155" i="1"/>
  <c r="H155" i="1" s="1"/>
  <c r="T154" i="1"/>
  <c r="H154" i="1" s="1"/>
  <c r="T153" i="1"/>
  <c r="H153" i="1" s="1"/>
  <c r="T152" i="1"/>
  <c r="H152" i="1" s="1"/>
  <c r="T151" i="1"/>
  <c r="H151" i="1" s="1"/>
  <c r="T150" i="1"/>
  <c r="H150" i="1" s="1"/>
  <c r="T149" i="1"/>
  <c r="H149" i="1" s="1"/>
  <c r="T148" i="1"/>
  <c r="H148" i="1" s="1"/>
  <c r="T147" i="1"/>
  <c r="H147" i="1" s="1"/>
  <c r="T146" i="1"/>
  <c r="H146" i="1" s="1"/>
  <c r="T145" i="1"/>
  <c r="H145" i="1" s="1"/>
  <c r="T144" i="1"/>
  <c r="H144" i="1" s="1"/>
  <c r="T143" i="1"/>
  <c r="H143" i="1" s="1"/>
  <c r="T142" i="1"/>
  <c r="H142" i="1" s="1"/>
  <c r="T136" i="1"/>
  <c r="H136" i="1" s="1"/>
  <c r="T135" i="1"/>
  <c r="H135" i="1" s="1"/>
  <c r="T134" i="1"/>
  <c r="H134" i="1" s="1"/>
  <c r="T133" i="1"/>
  <c r="H133" i="1" s="1"/>
  <c r="T132" i="1"/>
  <c r="H132" i="1" s="1"/>
  <c r="T131" i="1"/>
  <c r="H131" i="1" s="1"/>
  <c r="T130" i="1"/>
  <c r="H130" i="1" s="1"/>
  <c r="T129" i="1"/>
  <c r="H129" i="1" s="1"/>
  <c r="T128" i="1"/>
  <c r="H128" i="1" s="1"/>
  <c r="T127" i="1"/>
  <c r="H127" i="1" s="1"/>
  <c r="T126" i="1"/>
  <c r="H126" i="1" s="1"/>
  <c r="T125" i="1"/>
  <c r="H125" i="1" s="1"/>
  <c r="T124" i="1"/>
  <c r="H124" i="1" s="1"/>
  <c r="T123" i="1"/>
  <c r="H123" i="1" s="1"/>
  <c r="T122" i="1"/>
  <c r="H122" i="1" s="1"/>
  <c r="T121" i="1"/>
  <c r="H121" i="1" s="1"/>
  <c r="T120" i="1"/>
  <c r="H120" i="1" s="1"/>
  <c r="T119" i="1"/>
  <c r="H119" i="1" s="1"/>
  <c r="T118" i="1"/>
  <c r="H118" i="1" s="1"/>
  <c r="T117" i="1"/>
  <c r="H117" i="1" s="1"/>
  <c r="T116" i="1"/>
  <c r="H116" i="1" s="1"/>
  <c r="T115" i="1"/>
  <c r="H115" i="1" s="1"/>
  <c r="T114" i="1"/>
  <c r="H114" i="1" s="1"/>
  <c r="T113" i="1"/>
  <c r="H113" i="1" s="1"/>
  <c r="T112" i="1"/>
  <c r="H112" i="1" s="1"/>
  <c r="T111" i="1"/>
  <c r="H111" i="1" s="1"/>
  <c r="T110" i="1"/>
  <c r="H110" i="1" s="1"/>
  <c r="T109" i="1"/>
  <c r="H109" i="1" s="1"/>
  <c r="T108" i="1"/>
  <c r="H108" i="1" s="1"/>
  <c r="T107" i="1"/>
  <c r="H107" i="1" s="1"/>
  <c r="T106" i="1"/>
  <c r="H106" i="1" s="1"/>
  <c r="T105" i="1"/>
  <c r="H105" i="1" s="1"/>
  <c r="T104" i="1"/>
  <c r="H104" i="1" s="1"/>
  <c r="T103" i="1"/>
  <c r="H103" i="1" s="1"/>
  <c r="T102" i="1"/>
  <c r="H102" i="1" s="1"/>
  <c r="T101" i="1"/>
  <c r="H101" i="1" s="1"/>
  <c r="T100" i="1"/>
  <c r="H100" i="1" s="1"/>
  <c r="T99" i="1"/>
  <c r="H99" i="1" s="1"/>
  <c r="T98" i="1"/>
  <c r="H98" i="1" s="1"/>
  <c r="T97" i="1"/>
  <c r="H97" i="1" s="1"/>
  <c r="T96" i="1"/>
  <c r="H96" i="1" s="1"/>
  <c r="T95" i="1"/>
  <c r="H95" i="1" s="1"/>
  <c r="T94" i="1"/>
  <c r="H94" i="1" s="1"/>
  <c r="T93" i="1"/>
  <c r="H93" i="1" s="1"/>
  <c r="T92" i="1"/>
  <c r="H92" i="1" s="1"/>
  <c r="T91" i="1"/>
  <c r="H91" i="1" s="1"/>
  <c r="T90" i="1"/>
  <c r="H90" i="1" s="1"/>
  <c r="T89" i="1"/>
  <c r="H89" i="1" s="1"/>
  <c r="T88" i="1"/>
  <c r="H88" i="1" s="1"/>
  <c r="T87" i="1"/>
  <c r="H87" i="1" s="1"/>
  <c r="T86" i="1"/>
  <c r="H86" i="1" s="1"/>
  <c r="T85" i="1"/>
  <c r="H85" i="1" s="1"/>
  <c r="T84" i="1"/>
  <c r="H84" i="1" s="1"/>
  <c r="T83" i="1"/>
  <c r="H83" i="1" s="1"/>
  <c r="T82" i="1"/>
  <c r="H82" i="1" s="1"/>
  <c r="T81" i="1"/>
  <c r="H81" i="1" s="1"/>
  <c r="T80" i="1"/>
  <c r="H80" i="1" s="1"/>
  <c r="T79" i="1"/>
  <c r="H79" i="1" s="1"/>
  <c r="T78" i="1"/>
  <c r="H78" i="1" s="1"/>
  <c r="T77" i="1"/>
  <c r="H77" i="1" s="1"/>
  <c r="T76" i="1"/>
  <c r="H76" i="1" s="1"/>
  <c r="T75" i="1"/>
  <c r="H75" i="1" s="1"/>
  <c r="T74" i="1"/>
  <c r="H74" i="1" s="1"/>
  <c r="T73" i="1"/>
  <c r="H73" i="1" s="1"/>
  <c r="T72" i="1"/>
  <c r="H72" i="1" s="1"/>
  <c r="T71" i="1"/>
  <c r="H71" i="1" s="1"/>
  <c r="T70" i="1"/>
  <c r="H70" i="1" s="1"/>
  <c r="T69" i="1"/>
  <c r="H69" i="1" s="1"/>
  <c r="T68" i="1"/>
  <c r="H68" i="1" s="1"/>
  <c r="T67" i="1"/>
  <c r="H67" i="1" s="1"/>
  <c r="T66" i="1"/>
  <c r="H66" i="1" s="1"/>
  <c r="T65" i="1"/>
  <c r="H65" i="1" s="1"/>
  <c r="T64" i="1"/>
  <c r="H64" i="1" s="1"/>
  <c r="T63" i="1"/>
  <c r="H63" i="1" s="1"/>
  <c r="T62" i="1"/>
  <c r="H62" i="1" s="1"/>
  <c r="T61" i="1"/>
  <c r="H61" i="1" s="1"/>
  <c r="T60" i="1"/>
  <c r="H60" i="1" s="1"/>
  <c r="T59" i="1"/>
  <c r="H59" i="1" s="1"/>
  <c r="T58" i="1"/>
  <c r="H58" i="1" s="1"/>
  <c r="T57" i="1"/>
  <c r="H57" i="1" s="1"/>
  <c r="T56" i="1"/>
  <c r="H56" i="1" s="1"/>
  <c r="T55" i="1"/>
  <c r="H55" i="1" s="1"/>
  <c r="T54" i="1"/>
  <c r="H54" i="1" s="1"/>
  <c r="T53" i="1"/>
  <c r="H53" i="1" s="1"/>
  <c r="T52" i="1"/>
  <c r="H52" i="1" s="1"/>
  <c r="T51" i="1"/>
  <c r="H51" i="1" s="1"/>
  <c r="T50" i="1"/>
  <c r="H50" i="1" s="1"/>
  <c r="T49" i="1"/>
  <c r="H49" i="1" s="1"/>
  <c r="T48" i="1"/>
  <c r="H48" i="1" s="1"/>
  <c r="T47" i="1"/>
  <c r="H47" i="1" s="1"/>
  <c r="T46" i="1"/>
  <c r="H46" i="1" s="1"/>
  <c r="T45" i="1"/>
  <c r="H45" i="1" s="1"/>
  <c r="T44" i="1"/>
  <c r="H44" i="1" s="1"/>
  <c r="T43" i="1"/>
  <c r="H43" i="1" s="1"/>
  <c r="T42" i="1"/>
  <c r="H42" i="1" s="1"/>
  <c r="T41" i="1"/>
  <c r="H41" i="1" s="1"/>
  <c r="T40" i="1"/>
  <c r="H40" i="1" s="1"/>
  <c r="T39" i="1"/>
  <c r="H39" i="1" s="1"/>
  <c r="T38" i="1"/>
  <c r="H38" i="1" s="1"/>
  <c r="T37" i="1"/>
  <c r="H37" i="1" s="1"/>
  <c r="T36" i="1"/>
  <c r="H36" i="1" s="1"/>
  <c r="T35" i="1"/>
  <c r="H35" i="1" s="1"/>
  <c r="T34" i="1"/>
  <c r="H34" i="1" s="1"/>
  <c r="T33" i="1"/>
  <c r="H33" i="1" s="1"/>
  <c r="T32" i="1"/>
  <c r="H32" i="1" s="1"/>
  <c r="T31" i="1"/>
  <c r="H31" i="1" s="1"/>
  <c r="T30" i="1"/>
  <c r="H30" i="1" s="1"/>
  <c r="T29" i="1"/>
  <c r="H29" i="1" s="1"/>
  <c r="T28" i="1"/>
  <c r="H28" i="1" s="1"/>
  <c r="T27" i="1"/>
  <c r="H27" i="1" s="1"/>
  <c r="T26" i="1"/>
  <c r="H26" i="1" s="1"/>
  <c r="T25" i="1"/>
  <c r="H25" i="1" s="1"/>
  <c r="T24" i="1"/>
  <c r="H24" i="1" s="1"/>
  <c r="T23" i="1"/>
  <c r="H23" i="1" s="1"/>
  <c r="T22" i="1"/>
  <c r="H22" i="1" s="1"/>
  <c r="T21" i="1"/>
  <c r="H21" i="1" s="1"/>
  <c r="T20" i="1"/>
  <c r="H20" i="1" s="1"/>
  <c r="T19" i="1"/>
  <c r="H19" i="1" s="1"/>
  <c r="T18" i="1"/>
  <c r="H18" i="1" s="1"/>
  <c r="T17" i="1"/>
  <c r="H17" i="1" s="1"/>
  <c r="T16" i="1"/>
  <c r="H16" i="1" s="1"/>
  <c r="T15" i="1"/>
  <c r="H15" i="1" s="1"/>
  <c r="T14" i="1"/>
  <c r="H14" i="1" s="1"/>
  <c r="T13" i="1"/>
  <c r="H13" i="1" s="1"/>
  <c r="T12" i="1"/>
  <c r="H12" i="1" s="1"/>
  <c r="T11" i="1"/>
  <c r="H11" i="1" s="1"/>
  <c r="T10" i="1"/>
  <c r="H10" i="1" s="1"/>
  <c r="T9" i="1"/>
  <c r="H9" i="1" s="1"/>
  <c r="T8" i="1"/>
  <c r="H8" i="1" s="1"/>
  <c r="T7" i="1"/>
  <c r="H7" i="1" s="1"/>
  <c r="T6" i="1"/>
  <c r="H6" i="1" s="1"/>
  <c r="T5" i="1"/>
  <c r="H5" i="1" s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S167" i="1"/>
  <c r="R167" i="1"/>
  <c r="O167" i="1"/>
  <c r="G167" i="1" s="1"/>
  <c r="N167" i="1"/>
  <c r="F167" i="1"/>
  <c r="S166" i="1"/>
  <c r="R166" i="1"/>
  <c r="O166" i="1"/>
  <c r="G166" i="1" s="1"/>
  <c r="N166" i="1"/>
  <c r="F166" i="1"/>
  <c r="S165" i="1"/>
  <c r="R165" i="1"/>
  <c r="O165" i="1"/>
  <c r="G165" i="1" s="1"/>
  <c r="N165" i="1"/>
  <c r="S164" i="1"/>
  <c r="R164" i="1"/>
  <c r="O164" i="1"/>
  <c r="G164" i="1" s="1"/>
  <c r="N164" i="1"/>
  <c r="F164" i="1"/>
  <c r="S163" i="1"/>
  <c r="R163" i="1"/>
  <c r="O163" i="1"/>
  <c r="G163" i="1" s="1"/>
  <c r="N163" i="1"/>
  <c r="F163" i="1"/>
  <c r="S162" i="1"/>
  <c r="R162" i="1"/>
  <c r="O162" i="1"/>
  <c r="G162" i="1" s="1"/>
  <c r="N162" i="1"/>
  <c r="F162" i="1"/>
  <c r="S161" i="1"/>
  <c r="R161" i="1"/>
  <c r="O161" i="1"/>
  <c r="G161" i="1" s="1"/>
  <c r="N161" i="1"/>
  <c r="F161" i="1"/>
  <c r="S160" i="1"/>
  <c r="R160" i="1"/>
  <c r="O160" i="1"/>
  <c r="G160" i="1" s="1"/>
  <c r="N160" i="1"/>
  <c r="F160" i="1"/>
  <c r="S159" i="1"/>
  <c r="R159" i="1"/>
  <c r="O159" i="1"/>
  <c r="G159" i="1" s="1"/>
  <c r="N159" i="1"/>
  <c r="F159" i="1"/>
  <c r="S158" i="1"/>
  <c r="R158" i="1"/>
  <c r="O158" i="1"/>
  <c r="G158" i="1" s="1"/>
  <c r="N158" i="1"/>
  <c r="F158" i="1"/>
  <c r="S157" i="1"/>
  <c r="R157" i="1"/>
  <c r="O157" i="1"/>
  <c r="G157" i="1" s="1"/>
  <c r="N157" i="1"/>
  <c r="F157" i="1"/>
  <c r="S156" i="1"/>
  <c r="R156" i="1"/>
  <c r="O156" i="1"/>
  <c r="G156" i="1" s="1"/>
  <c r="N156" i="1"/>
  <c r="F156" i="1"/>
  <c r="S155" i="1"/>
  <c r="R155" i="1"/>
  <c r="O155" i="1"/>
  <c r="G155" i="1" s="1"/>
  <c r="N155" i="1"/>
  <c r="S154" i="1"/>
  <c r="R154" i="1"/>
  <c r="O154" i="1"/>
  <c r="G154" i="1" s="1"/>
  <c r="N154" i="1"/>
  <c r="F154" i="1"/>
  <c r="S153" i="1"/>
  <c r="R153" i="1"/>
  <c r="O153" i="1"/>
  <c r="G153" i="1" s="1"/>
  <c r="N153" i="1"/>
  <c r="F153" i="1"/>
  <c r="S152" i="1"/>
  <c r="R152" i="1"/>
  <c r="O152" i="1"/>
  <c r="G152" i="1" s="1"/>
  <c r="N152" i="1"/>
  <c r="F152" i="1"/>
  <c r="S151" i="1"/>
  <c r="R151" i="1"/>
  <c r="O151" i="1"/>
  <c r="G151" i="1" s="1"/>
  <c r="N151" i="1"/>
  <c r="F151" i="1"/>
  <c r="S150" i="1"/>
  <c r="R150" i="1"/>
  <c r="O150" i="1"/>
  <c r="G150" i="1" s="1"/>
  <c r="N150" i="1"/>
  <c r="F150" i="1"/>
  <c r="S149" i="1"/>
  <c r="R149" i="1"/>
  <c r="O149" i="1"/>
  <c r="G149" i="1" s="1"/>
  <c r="N149" i="1"/>
  <c r="F149" i="1"/>
  <c r="S148" i="1"/>
  <c r="R148" i="1"/>
  <c r="O148" i="1"/>
  <c r="G148" i="1" s="1"/>
  <c r="N148" i="1"/>
  <c r="F148" i="1"/>
  <c r="S147" i="1"/>
  <c r="R147" i="1"/>
  <c r="O147" i="1"/>
  <c r="G147" i="1" s="1"/>
  <c r="N147" i="1"/>
  <c r="F147" i="1"/>
  <c r="S146" i="1"/>
  <c r="R146" i="1"/>
  <c r="O146" i="1"/>
  <c r="G146" i="1" s="1"/>
  <c r="N146" i="1"/>
  <c r="F146" i="1"/>
  <c r="S145" i="1"/>
  <c r="R145" i="1"/>
  <c r="O145" i="1"/>
  <c r="G145" i="1" s="1"/>
  <c r="N145" i="1"/>
  <c r="S144" i="1"/>
  <c r="R144" i="1"/>
  <c r="O144" i="1"/>
  <c r="G144" i="1" s="1"/>
  <c r="N144" i="1"/>
  <c r="F144" i="1"/>
  <c r="S143" i="1"/>
  <c r="R143" i="1"/>
  <c r="O143" i="1"/>
  <c r="G143" i="1" s="1"/>
  <c r="N143" i="1"/>
  <c r="F143" i="1"/>
  <c r="S142" i="1"/>
  <c r="R142" i="1"/>
  <c r="O142" i="1"/>
  <c r="G142" i="1" s="1"/>
  <c r="N142" i="1"/>
  <c r="F142" i="1"/>
  <c r="S136" i="1"/>
  <c r="R136" i="1"/>
  <c r="O136" i="1"/>
  <c r="G136" i="1" s="1"/>
  <c r="N136" i="1"/>
  <c r="F136" i="1"/>
  <c r="S135" i="1"/>
  <c r="R135" i="1"/>
  <c r="O135" i="1"/>
  <c r="G135" i="1" s="1"/>
  <c r="N135" i="1"/>
  <c r="F135" i="1"/>
  <c r="S134" i="1"/>
  <c r="R134" i="1"/>
  <c r="O134" i="1"/>
  <c r="G134" i="1" s="1"/>
  <c r="N134" i="1"/>
  <c r="F134" i="1"/>
  <c r="S133" i="1"/>
  <c r="R133" i="1"/>
  <c r="O133" i="1"/>
  <c r="G133" i="1" s="1"/>
  <c r="N133" i="1"/>
  <c r="F133" i="1"/>
  <c r="S132" i="1"/>
  <c r="R132" i="1"/>
  <c r="O132" i="1"/>
  <c r="G132" i="1" s="1"/>
  <c r="N132" i="1"/>
  <c r="F132" i="1"/>
  <c r="S131" i="1"/>
  <c r="R131" i="1"/>
  <c r="O131" i="1"/>
  <c r="G131" i="1" s="1"/>
  <c r="N131" i="1"/>
  <c r="F131" i="1"/>
  <c r="S130" i="1"/>
  <c r="R130" i="1"/>
  <c r="O130" i="1"/>
  <c r="G130" i="1" s="1"/>
  <c r="N130" i="1"/>
  <c r="S129" i="1"/>
  <c r="R129" i="1"/>
  <c r="O129" i="1"/>
  <c r="G129" i="1" s="1"/>
  <c r="N129" i="1"/>
  <c r="F129" i="1"/>
  <c r="S128" i="1"/>
  <c r="R128" i="1"/>
  <c r="O128" i="1"/>
  <c r="G128" i="1" s="1"/>
  <c r="N128" i="1"/>
  <c r="F128" i="1"/>
  <c r="S127" i="1"/>
  <c r="R127" i="1"/>
  <c r="O127" i="1"/>
  <c r="G127" i="1" s="1"/>
  <c r="N127" i="1"/>
  <c r="F127" i="1"/>
  <c r="S126" i="1"/>
  <c r="R126" i="1"/>
  <c r="O126" i="1"/>
  <c r="G126" i="1" s="1"/>
  <c r="N126" i="1"/>
  <c r="F126" i="1"/>
  <c r="S125" i="1"/>
  <c r="R125" i="1"/>
  <c r="O125" i="1"/>
  <c r="G125" i="1" s="1"/>
  <c r="N125" i="1"/>
  <c r="F125" i="1"/>
  <c r="S124" i="1"/>
  <c r="R124" i="1"/>
  <c r="O124" i="1"/>
  <c r="G124" i="1" s="1"/>
  <c r="N124" i="1"/>
  <c r="F124" i="1"/>
  <c r="S123" i="1"/>
  <c r="R123" i="1"/>
  <c r="O123" i="1"/>
  <c r="G123" i="1" s="1"/>
  <c r="N123" i="1"/>
  <c r="F123" i="1"/>
  <c r="S122" i="1"/>
  <c r="R122" i="1"/>
  <c r="O122" i="1"/>
  <c r="G122" i="1" s="1"/>
  <c r="N122" i="1"/>
  <c r="F122" i="1"/>
  <c r="S121" i="1"/>
  <c r="R121" i="1"/>
  <c r="O121" i="1"/>
  <c r="G121" i="1" s="1"/>
  <c r="N121" i="1"/>
  <c r="F121" i="1"/>
  <c r="S120" i="1"/>
  <c r="R120" i="1"/>
  <c r="O120" i="1"/>
  <c r="G120" i="1" s="1"/>
  <c r="N120" i="1"/>
  <c r="S119" i="1"/>
  <c r="R119" i="1"/>
  <c r="O119" i="1"/>
  <c r="G119" i="1" s="1"/>
  <c r="N119" i="1"/>
  <c r="F119" i="1"/>
  <c r="S118" i="1"/>
  <c r="R118" i="1"/>
  <c r="O118" i="1"/>
  <c r="G118" i="1" s="1"/>
  <c r="N118" i="1"/>
  <c r="F118" i="1"/>
  <c r="S117" i="1"/>
  <c r="R117" i="1"/>
  <c r="O117" i="1"/>
  <c r="G117" i="1" s="1"/>
  <c r="N117" i="1"/>
  <c r="F117" i="1"/>
  <c r="S116" i="1"/>
  <c r="R116" i="1"/>
  <c r="O116" i="1"/>
  <c r="G116" i="1" s="1"/>
  <c r="N116" i="1"/>
  <c r="F116" i="1"/>
  <c r="S115" i="1"/>
  <c r="R115" i="1"/>
  <c r="O115" i="1"/>
  <c r="G115" i="1" s="1"/>
  <c r="N115" i="1"/>
  <c r="F115" i="1"/>
  <c r="S114" i="1"/>
  <c r="R114" i="1"/>
  <c r="O114" i="1"/>
  <c r="G114" i="1" s="1"/>
  <c r="N114" i="1"/>
  <c r="F114" i="1"/>
  <c r="S113" i="1"/>
  <c r="R113" i="1"/>
  <c r="O113" i="1"/>
  <c r="G113" i="1" s="1"/>
  <c r="N113" i="1"/>
  <c r="F113" i="1"/>
  <c r="S112" i="1"/>
  <c r="R112" i="1"/>
  <c r="O112" i="1"/>
  <c r="G112" i="1" s="1"/>
  <c r="N112" i="1"/>
  <c r="F112" i="1"/>
  <c r="S111" i="1"/>
  <c r="R111" i="1"/>
  <c r="O111" i="1"/>
  <c r="G111" i="1" s="1"/>
  <c r="N111" i="1"/>
  <c r="F111" i="1"/>
  <c r="S110" i="1"/>
  <c r="R110" i="1"/>
  <c r="O110" i="1"/>
  <c r="G110" i="1" s="1"/>
  <c r="N110" i="1"/>
  <c r="S109" i="1"/>
  <c r="R109" i="1"/>
  <c r="O109" i="1"/>
  <c r="G109" i="1" s="1"/>
  <c r="N109" i="1"/>
  <c r="F109" i="1"/>
  <c r="S108" i="1"/>
  <c r="R108" i="1"/>
  <c r="O108" i="1"/>
  <c r="G108" i="1" s="1"/>
  <c r="N108" i="1"/>
  <c r="F108" i="1"/>
  <c r="S107" i="1"/>
  <c r="R107" i="1"/>
  <c r="O107" i="1"/>
  <c r="G107" i="1" s="1"/>
  <c r="N107" i="1"/>
  <c r="F107" i="1"/>
  <c r="S106" i="1"/>
  <c r="R106" i="1"/>
  <c r="O106" i="1"/>
  <c r="G106" i="1" s="1"/>
  <c r="N106" i="1"/>
  <c r="F106" i="1"/>
  <c r="S105" i="1"/>
  <c r="R105" i="1"/>
  <c r="O105" i="1"/>
  <c r="G105" i="1" s="1"/>
  <c r="N105" i="1"/>
  <c r="F105" i="1"/>
  <c r="S104" i="1"/>
  <c r="R104" i="1"/>
  <c r="O104" i="1"/>
  <c r="G104" i="1" s="1"/>
  <c r="N104" i="1"/>
  <c r="F104" i="1"/>
  <c r="S103" i="1"/>
  <c r="R103" i="1"/>
  <c r="O103" i="1"/>
  <c r="G103" i="1" s="1"/>
  <c r="N103" i="1"/>
  <c r="F103" i="1"/>
  <c r="F102" i="1"/>
  <c r="N102" i="1"/>
  <c r="O102" i="1"/>
  <c r="G102" i="1" s="1"/>
  <c r="R102" i="1"/>
  <c r="S102" i="1"/>
  <c r="F101" i="1"/>
  <c r="N101" i="1"/>
  <c r="O101" i="1"/>
  <c r="G101" i="1" s="1"/>
  <c r="R101" i="1"/>
  <c r="S101" i="1"/>
  <c r="F100" i="1"/>
  <c r="N100" i="1"/>
  <c r="O100" i="1"/>
  <c r="G100" i="1" s="1"/>
  <c r="R100" i="1"/>
  <c r="S100" i="1"/>
  <c r="F99" i="1"/>
  <c r="N99" i="1"/>
  <c r="O99" i="1"/>
  <c r="G99" i="1" s="1"/>
  <c r="R99" i="1"/>
  <c r="S99" i="1"/>
  <c r="F98" i="1"/>
  <c r="N98" i="1"/>
  <c r="O98" i="1"/>
  <c r="G98" i="1" s="1"/>
  <c r="R98" i="1"/>
  <c r="S98" i="1"/>
  <c r="F97" i="1"/>
  <c r="N97" i="1"/>
  <c r="O97" i="1"/>
  <c r="G97" i="1" s="1"/>
  <c r="R97" i="1"/>
  <c r="S97" i="1"/>
  <c r="F96" i="1"/>
  <c r="N96" i="1"/>
  <c r="O96" i="1"/>
  <c r="G96" i="1" s="1"/>
  <c r="R96" i="1"/>
  <c r="S96" i="1"/>
  <c r="F95" i="1"/>
  <c r="N95" i="1"/>
  <c r="O95" i="1"/>
  <c r="G95" i="1" s="1"/>
  <c r="R95" i="1"/>
  <c r="S95" i="1"/>
  <c r="F94" i="1"/>
  <c r="N94" i="1"/>
  <c r="O94" i="1"/>
  <c r="G94" i="1" s="1"/>
  <c r="R94" i="1"/>
  <c r="S94" i="1"/>
  <c r="F93" i="1"/>
  <c r="N93" i="1"/>
  <c r="O93" i="1"/>
  <c r="G93" i="1" s="1"/>
  <c r="R93" i="1"/>
  <c r="S93" i="1"/>
  <c r="F92" i="1"/>
  <c r="N92" i="1"/>
  <c r="O92" i="1"/>
  <c r="G92" i="1" s="1"/>
  <c r="R92" i="1"/>
  <c r="S92" i="1"/>
  <c r="F91" i="1"/>
  <c r="N91" i="1"/>
  <c r="O91" i="1"/>
  <c r="G91" i="1" s="1"/>
  <c r="R91" i="1"/>
  <c r="S91" i="1"/>
  <c r="F90" i="1"/>
  <c r="N90" i="1"/>
  <c r="O90" i="1"/>
  <c r="G90" i="1" s="1"/>
  <c r="R90" i="1"/>
  <c r="S90" i="1"/>
  <c r="F89" i="1"/>
  <c r="N89" i="1"/>
  <c r="O89" i="1"/>
  <c r="G89" i="1" s="1"/>
  <c r="R89" i="1"/>
  <c r="S89" i="1"/>
  <c r="F88" i="1"/>
  <c r="N88" i="1"/>
  <c r="O88" i="1"/>
  <c r="G88" i="1" s="1"/>
  <c r="R88" i="1"/>
  <c r="S88" i="1"/>
  <c r="F87" i="1"/>
  <c r="N87" i="1"/>
  <c r="O87" i="1"/>
  <c r="G87" i="1" s="1"/>
  <c r="R87" i="1"/>
  <c r="S87" i="1"/>
  <c r="F86" i="1"/>
  <c r="N86" i="1"/>
  <c r="O86" i="1"/>
  <c r="G86" i="1" s="1"/>
  <c r="R86" i="1"/>
  <c r="S86" i="1"/>
  <c r="F85" i="1"/>
  <c r="N85" i="1"/>
  <c r="O85" i="1"/>
  <c r="G85" i="1" s="1"/>
  <c r="R85" i="1"/>
  <c r="S85" i="1"/>
  <c r="F84" i="1"/>
  <c r="N84" i="1"/>
  <c r="O84" i="1"/>
  <c r="G84" i="1" s="1"/>
  <c r="R84" i="1"/>
  <c r="S84" i="1"/>
  <c r="F83" i="1"/>
  <c r="N83" i="1"/>
  <c r="O83" i="1"/>
  <c r="G83" i="1" s="1"/>
  <c r="R83" i="1"/>
  <c r="S83" i="1"/>
  <c r="F82" i="1"/>
  <c r="N82" i="1"/>
  <c r="O82" i="1"/>
  <c r="G82" i="1" s="1"/>
  <c r="R82" i="1"/>
  <c r="S82" i="1"/>
  <c r="F81" i="1"/>
  <c r="N81" i="1"/>
  <c r="O81" i="1"/>
  <c r="G81" i="1" s="1"/>
  <c r="R81" i="1"/>
  <c r="S81" i="1"/>
  <c r="F80" i="1"/>
  <c r="N80" i="1"/>
  <c r="O80" i="1"/>
  <c r="G80" i="1" s="1"/>
  <c r="R80" i="1"/>
  <c r="S80" i="1"/>
  <c r="F79" i="1"/>
  <c r="N79" i="1"/>
  <c r="O79" i="1"/>
  <c r="G79" i="1" s="1"/>
  <c r="R79" i="1"/>
  <c r="S79" i="1"/>
  <c r="F78" i="1"/>
  <c r="N78" i="1"/>
  <c r="O78" i="1"/>
  <c r="G78" i="1" s="1"/>
  <c r="R78" i="1"/>
  <c r="S78" i="1"/>
  <c r="F77" i="1"/>
  <c r="N77" i="1"/>
  <c r="O77" i="1"/>
  <c r="G77" i="1" s="1"/>
  <c r="R77" i="1"/>
  <c r="S77" i="1"/>
  <c r="F76" i="1"/>
  <c r="N76" i="1"/>
  <c r="O76" i="1"/>
  <c r="G76" i="1" s="1"/>
  <c r="R76" i="1"/>
  <c r="S76" i="1"/>
  <c r="F75" i="1"/>
  <c r="N75" i="1"/>
  <c r="O75" i="1"/>
  <c r="G75" i="1" s="1"/>
  <c r="R75" i="1"/>
  <c r="S75" i="1"/>
  <c r="F74" i="1"/>
  <c r="N74" i="1"/>
  <c r="O74" i="1"/>
  <c r="G74" i="1" s="1"/>
  <c r="R74" i="1"/>
  <c r="S74" i="1"/>
  <c r="F73" i="1"/>
  <c r="N73" i="1"/>
  <c r="O73" i="1"/>
  <c r="G73" i="1" s="1"/>
  <c r="R73" i="1"/>
  <c r="S73" i="1"/>
  <c r="F72" i="1"/>
  <c r="N72" i="1"/>
  <c r="O72" i="1"/>
  <c r="G72" i="1" s="1"/>
  <c r="R72" i="1"/>
  <c r="S72" i="1"/>
  <c r="F71" i="1"/>
  <c r="N71" i="1"/>
  <c r="O71" i="1"/>
  <c r="G71" i="1" s="1"/>
  <c r="R71" i="1"/>
  <c r="S71" i="1"/>
  <c r="F70" i="1"/>
  <c r="N70" i="1"/>
  <c r="O70" i="1"/>
  <c r="G70" i="1" s="1"/>
  <c r="R70" i="1"/>
  <c r="S70" i="1"/>
  <c r="F69" i="1"/>
  <c r="N69" i="1"/>
  <c r="O69" i="1"/>
  <c r="G69" i="1" s="1"/>
  <c r="R69" i="1"/>
  <c r="S69" i="1"/>
  <c r="F68" i="1"/>
  <c r="N68" i="1"/>
  <c r="O68" i="1"/>
  <c r="G68" i="1" s="1"/>
  <c r="R68" i="1"/>
  <c r="S68" i="1"/>
  <c r="F67" i="1"/>
  <c r="N67" i="1"/>
  <c r="O67" i="1"/>
  <c r="G67" i="1" s="1"/>
  <c r="R67" i="1"/>
  <c r="S67" i="1"/>
  <c r="F66" i="1"/>
  <c r="N66" i="1"/>
  <c r="O66" i="1"/>
  <c r="G66" i="1" s="1"/>
  <c r="R66" i="1"/>
  <c r="S66" i="1"/>
  <c r="F65" i="1"/>
  <c r="N65" i="1"/>
  <c r="O65" i="1"/>
  <c r="G65" i="1" s="1"/>
  <c r="R65" i="1"/>
  <c r="S65" i="1"/>
  <c r="F64" i="1"/>
  <c r="N64" i="1"/>
  <c r="O64" i="1"/>
  <c r="G64" i="1" s="1"/>
  <c r="R64" i="1"/>
  <c r="S64" i="1"/>
  <c r="F63" i="1"/>
  <c r="N63" i="1"/>
  <c r="O63" i="1"/>
  <c r="G63" i="1" s="1"/>
  <c r="R63" i="1"/>
  <c r="S63" i="1"/>
  <c r="F62" i="1"/>
  <c r="N62" i="1"/>
  <c r="O62" i="1"/>
  <c r="G62" i="1" s="1"/>
  <c r="R62" i="1"/>
  <c r="S62" i="1"/>
  <c r="F61" i="1"/>
  <c r="N61" i="1"/>
  <c r="O61" i="1"/>
  <c r="G61" i="1" s="1"/>
  <c r="R61" i="1"/>
  <c r="S61" i="1"/>
  <c r="F60" i="1"/>
  <c r="N60" i="1"/>
  <c r="O60" i="1"/>
  <c r="G60" i="1" s="1"/>
  <c r="R60" i="1"/>
  <c r="S60" i="1"/>
  <c r="F59" i="1"/>
  <c r="N59" i="1"/>
  <c r="O59" i="1"/>
  <c r="G59" i="1" s="1"/>
  <c r="R59" i="1"/>
  <c r="S59" i="1"/>
  <c r="F58" i="1"/>
  <c r="N58" i="1"/>
  <c r="O58" i="1"/>
  <c r="G58" i="1" s="1"/>
  <c r="R58" i="1"/>
  <c r="S58" i="1"/>
  <c r="F57" i="1"/>
  <c r="N57" i="1"/>
  <c r="O57" i="1"/>
  <c r="G57" i="1" s="1"/>
  <c r="R57" i="1"/>
  <c r="S57" i="1"/>
  <c r="F56" i="1"/>
  <c r="N56" i="1"/>
  <c r="O56" i="1"/>
  <c r="G56" i="1" s="1"/>
  <c r="R56" i="1"/>
  <c r="S56" i="1"/>
  <c r="F55" i="1"/>
  <c r="N55" i="1"/>
  <c r="O55" i="1"/>
  <c r="G55" i="1" s="1"/>
  <c r="R55" i="1"/>
  <c r="S55" i="1"/>
  <c r="F54" i="1"/>
  <c r="N54" i="1"/>
  <c r="O54" i="1"/>
  <c r="G54" i="1" s="1"/>
  <c r="R54" i="1"/>
  <c r="S54" i="1"/>
  <c r="F53" i="1"/>
  <c r="N53" i="1"/>
  <c r="O53" i="1"/>
  <c r="G53" i="1" s="1"/>
  <c r="R53" i="1"/>
  <c r="S53" i="1"/>
  <c r="F52" i="1"/>
  <c r="N52" i="1"/>
  <c r="O52" i="1"/>
  <c r="G52" i="1" s="1"/>
  <c r="R52" i="1"/>
  <c r="S52" i="1"/>
  <c r="F51" i="1"/>
  <c r="N51" i="1"/>
  <c r="O51" i="1"/>
  <c r="G51" i="1" s="1"/>
  <c r="R51" i="1"/>
  <c r="S51" i="1"/>
  <c r="F50" i="1"/>
  <c r="N50" i="1"/>
  <c r="O50" i="1"/>
  <c r="G50" i="1" s="1"/>
  <c r="R50" i="1"/>
  <c r="S50" i="1"/>
  <c r="F49" i="1"/>
  <c r="N49" i="1"/>
  <c r="O49" i="1"/>
  <c r="G49" i="1" s="1"/>
  <c r="R49" i="1"/>
  <c r="S49" i="1"/>
  <c r="F48" i="1"/>
  <c r="N48" i="1"/>
  <c r="O48" i="1"/>
  <c r="G48" i="1" s="1"/>
  <c r="R48" i="1"/>
  <c r="S48" i="1"/>
  <c r="F47" i="1"/>
  <c r="N47" i="1"/>
  <c r="O47" i="1"/>
  <c r="G47" i="1" s="1"/>
  <c r="R47" i="1"/>
  <c r="S47" i="1"/>
  <c r="F46" i="1"/>
  <c r="N46" i="1"/>
  <c r="O46" i="1"/>
  <c r="G46" i="1" s="1"/>
  <c r="R46" i="1"/>
  <c r="S46" i="1"/>
  <c r="F45" i="1"/>
  <c r="N45" i="1"/>
  <c r="O45" i="1"/>
  <c r="G45" i="1" s="1"/>
  <c r="R45" i="1"/>
  <c r="S45" i="1"/>
  <c r="S44" i="1"/>
  <c r="R44" i="1"/>
  <c r="O44" i="1"/>
  <c r="G44" i="1" s="1"/>
  <c r="N44" i="1"/>
  <c r="F44" i="1"/>
  <c r="S43" i="1"/>
  <c r="R43" i="1"/>
  <c r="O43" i="1"/>
  <c r="G43" i="1" s="1"/>
  <c r="N43" i="1"/>
  <c r="F43" i="1"/>
  <c r="S42" i="1"/>
  <c r="R42" i="1"/>
  <c r="O42" i="1"/>
  <c r="G42" i="1" s="1"/>
  <c r="N42" i="1"/>
  <c r="F42" i="1"/>
  <c r="S41" i="1"/>
  <c r="R41" i="1"/>
  <c r="O41" i="1"/>
  <c r="G41" i="1" s="1"/>
  <c r="N41" i="1"/>
  <c r="F41" i="1"/>
  <c r="S40" i="1"/>
  <c r="R40" i="1"/>
  <c r="O40" i="1"/>
  <c r="G40" i="1" s="1"/>
  <c r="N40" i="1"/>
  <c r="F40" i="1"/>
  <c r="S39" i="1"/>
  <c r="R39" i="1"/>
  <c r="O39" i="1"/>
  <c r="G39" i="1" s="1"/>
  <c r="N39" i="1"/>
  <c r="F39" i="1"/>
  <c r="S38" i="1"/>
  <c r="R38" i="1"/>
  <c r="O38" i="1"/>
  <c r="G38" i="1" s="1"/>
  <c r="N38" i="1"/>
  <c r="F38" i="1"/>
  <c r="S37" i="1"/>
  <c r="R37" i="1"/>
  <c r="O37" i="1"/>
  <c r="G37" i="1" s="1"/>
  <c r="N37" i="1"/>
  <c r="F37" i="1"/>
  <c r="S36" i="1"/>
  <c r="R36" i="1"/>
  <c r="O36" i="1"/>
  <c r="G36" i="1" s="1"/>
  <c r="N36" i="1"/>
  <c r="F36" i="1"/>
  <c r="S35" i="1"/>
  <c r="R35" i="1"/>
  <c r="O35" i="1"/>
  <c r="G35" i="1" s="1"/>
  <c r="N35" i="1"/>
  <c r="F35" i="1"/>
  <c r="S34" i="1"/>
  <c r="R34" i="1"/>
  <c r="O34" i="1"/>
  <c r="G34" i="1" s="1"/>
  <c r="N34" i="1"/>
  <c r="F34" i="1"/>
  <c r="S33" i="1"/>
  <c r="R33" i="1"/>
  <c r="O33" i="1"/>
  <c r="G33" i="1" s="1"/>
  <c r="N33" i="1"/>
  <c r="F33" i="1"/>
  <c r="S32" i="1"/>
  <c r="R32" i="1"/>
  <c r="O32" i="1"/>
  <c r="G32" i="1" s="1"/>
  <c r="N32" i="1"/>
  <c r="F32" i="1"/>
  <c r="S31" i="1"/>
  <c r="R31" i="1"/>
  <c r="O31" i="1"/>
  <c r="G31" i="1" s="1"/>
  <c r="N31" i="1"/>
  <c r="F31" i="1"/>
  <c r="S30" i="1"/>
  <c r="R30" i="1"/>
  <c r="O30" i="1"/>
  <c r="G30" i="1" s="1"/>
  <c r="N30" i="1"/>
  <c r="F30" i="1"/>
  <c r="S29" i="1"/>
  <c r="R29" i="1"/>
  <c r="O29" i="1"/>
  <c r="G29" i="1" s="1"/>
  <c r="N29" i="1"/>
  <c r="F29" i="1"/>
  <c r="S28" i="1"/>
  <c r="R28" i="1"/>
  <c r="O28" i="1"/>
  <c r="G28" i="1" s="1"/>
  <c r="N28" i="1"/>
  <c r="F28" i="1"/>
  <c r="S27" i="1"/>
  <c r="R27" i="1"/>
  <c r="O27" i="1"/>
  <c r="G27" i="1" s="1"/>
  <c r="N27" i="1"/>
  <c r="F27" i="1"/>
  <c r="S26" i="1"/>
  <c r="R26" i="1"/>
  <c r="O26" i="1"/>
  <c r="G26" i="1" s="1"/>
  <c r="N26" i="1"/>
  <c r="F26" i="1"/>
  <c r="S25" i="1"/>
  <c r="R25" i="1"/>
  <c r="O25" i="1"/>
  <c r="G25" i="1" s="1"/>
  <c r="N25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O24" i="1"/>
  <c r="G24" i="1" s="1"/>
  <c r="O23" i="1"/>
  <c r="G23" i="1" s="1"/>
  <c r="O22" i="1"/>
  <c r="G22" i="1" s="1"/>
  <c r="O21" i="1"/>
  <c r="G21" i="1" s="1"/>
  <c r="O20" i="1"/>
  <c r="G20" i="1" s="1"/>
  <c r="O19" i="1"/>
  <c r="G19" i="1" s="1"/>
  <c r="O18" i="1"/>
  <c r="G18" i="1" s="1"/>
  <c r="O17" i="1"/>
  <c r="G17" i="1" s="1"/>
  <c r="O16" i="1"/>
  <c r="G16" i="1" s="1"/>
  <c r="O15" i="1"/>
  <c r="G15" i="1" s="1"/>
  <c r="O14" i="1"/>
  <c r="G14" i="1" s="1"/>
  <c r="O13" i="1"/>
  <c r="G13" i="1" s="1"/>
  <c r="O12" i="1"/>
  <c r="G12" i="1" s="1"/>
  <c r="O11" i="1"/>
  <c r="G11" i="1" s="1"/>
  <c r="O10" i="1"/>
  <c r="G10" i="1" s="1"/>
  <c r="O9" i="1"/>
  <c r="G9" i="1" s="1"/>
  <c r="O8" i="1"/>
  <c r="G8" i="1" s="1"/>
  <c r="O7" i="1"/>
  <c r="G7" i="1" s="1"/>
  <c r="O6" i="1"/>
  <c r="G6" i="1" s="1"/>
  <c r="O5" i="1"/>
  <c r="G5" i="1" s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</calcChain>
</file>

<file path=xl/sharedStrings.xml><?xml version="1.0" encoding="utf-8"?>
<sst xmlns="http://schemas.openxmlformats.org/spreadsheetml/2006/main" count="334" uniqueCount="217">
  <si>
    <t>N</t>
  </si>
  <si>
    <t>Perfume</t>
  </si>
  <si>
    <t>Precio Mercado (€)</t>
  </si>
  <si>
    <t>Tamaño (ml)</t>
  </si>
  <si>
    <t>Decant 3ml (€)</t>
  </si>
  <si>
    <t>Decant 5ml (€)</t>
  </si>
  <si>
    <t>Decant 10ml (€)</t>
  </si>
  <si>
    <t>BTV Blue Sapphire Supercharged</t>
  </si>
  <si>
    <t>BTV Hanuman</t>
  </si>
  <si>
    <t>Clive Christian Blonde Amber</t>
  </si>
  <si>
    <t>Clive Christian Hedonistic</t>
  </si>
  <si>
    <t>Clive Christian Rock Rose</t>
  </si>
  <si>
    <t>Nishane Nefs</t>
  </si>
  <si>
    <t>Amouage Outlands</t>
  </si>
  <si>
    <t>Roja Isola Blu</t>
  </si>
  <si>
    <t>Amouage Reflection 45</t>
  </si>
  <si>
    <t>Creed Absolu Aventus</t>
  </si>
  <si>
    <t>LV Ombre Nomade</t>
  </si>
  <si>
    <t>Clive X Masculine</t>
  </si>
  <si>
    <t>Clive 1872</t>
  </si>
  <si>
    <t>Creed Centaurus</t>
  </si>
  <si>
    <t>Xerjoff Alexandria II Annyversary</t>
  </si>
  <si>
    <t>BTV Harmonious</t>
  </si>
  <si>
    <t>Roja Manhattan</t>
  </si>
  <si>
    <t>Tiziana Terenzi Dionisio 2022</t>
  </si>
  <si>
    <t>BTV Opal</t>
  </si>
  <si>
    <t>Tom Ford Oud Wood Parfum</t>
  </si>
  <si>
    <t>Amouage Jubilation 40</t>
  </si>
  <si>
    <t>Amouage Interlude</t>
  </si>
  <si>
    <t>Amouage Interlude Black Iris</t>
  </si>
  <si>
    <t>Amouge Purpose</t>
  </si>
  <si>
    <t>Amouage Reflection man</t>
  </si>
  <si>
    <t>Amouage Opus XIV Royal Tobacco</t>
  </si>
  <si>
    <t>Xerjoff Naxos</t>
  </si>
  <si>
    <t>Killiam Smoking Hot</t>
  </si>
  <si>
    <t>Ambre Tabac Daniel Josier</t>
  </si>
  <si>
    <t>Sublimizia Bruno Perrucci</t>
  </si>
  <si>
    <t>The Moon Frederic Malle</t>
  </si>
  <si>
    <t>Promise Frederic Malle</t>
  </si>
  <si>
    <t>Musc Ravageur Frederic Malle (Batch 2020)</t>
  </si>
  <si>
    <t>Back to Black Kilian</t>
  </si>
  <si>
    <t>Under my skin Francesca Bianchi</t>
  </si>
  <si>
    <t>The Black Knight Francesca Bianchi</t>
  </si>
  <si>
    <t>The Dark Side Francesca Bianchi</t>
  </si>
  <si>
    <t>The Lover´s Tale Francesca Bianchi</t>
  </si>
  <si>
    <t>Iris Nazarena Aedes de Venustas</t>
  </si>
  <si>
    <t>Iris Cartagena 502 Bon Parfumeur</t>
  </si>
  <si>
    <t>Siesta Ramón Monegal</t>
  </si>
  <si>
    <t>Ôikb Santi Burgás</t>
  </si>
  <si>
    <t>Iris Shot Olfative Studio</t>
  </si>
  <si>
    <t>Velvet Iris Essential Parfums</t>
  </si>
  <si>
    <t>Obscura Ylusia Parfums</t>
  </si>
  <si>
    <t>Stand Out Bruno Perrucci</t>
  </si>
  <si>
    <t>Vibrato Sospiro</t>
  </si>
  <si>
    <t>Basso Sospiro</t>
  </si>
  <si>
    <t>Crab Apple Pie Clive Christian</t>
  </si>
  <si>
    <t>Bahar The Spirit of Dubai</t>
  </si>
  <si>
    <t>Fanfare Thameen</t>
  </si>
  <si>
    <t>Imagination Louis Vuitton</t>
  </si>
  <si>
    <t>Aventus Cologne Creed</t>
  </si>
  <si>
    <t>Virgin Island Water Creed</t>
  </si>
  <si>
    <t>God of fire Stephan Humbert Lucas</t>
  </si>
  <si>
    <t>Pacific Rock Moss Goldfield&amp;Banks</t>
  </si>
  <si>
    <t>Overdose Oman Luxury</t>
  </si>
  <si>
    <t>Megamare Orto Parisi</t>
  </si>
  <si>
    <t>Wave Child Room 1015</t>
  </si>
  <si>
    <t>Invisible but Cool Ramon Monegal</t>
  </si>
  <si>
    <t>Torino 21 Xerjoff</t>
  </si>
  <si>
    <t>Van Sea Lorezo Pazzaglia</t>
  </si>
  <si>
    <t>Summer Hummer Lorenzo Pazzaglia</t>
  </si>
  <si>
    <t>Piper Nigrum Lorenzo Villoresi Firenze</t>
  </si>
  <si>
    <t>Heart Attack Daniel Josier</t>
  </si>
  <si>
    <t>Tangy Caper Daniel Josier</t>
  </si>
  <si>
    <t>Black Moonlight Duran Duran Xerjoff</t>
  </si>
  <si>
    <t>Via Cavour 1 Xerjoff</t>
  </si>
  <si>
    <t>Dark Souls Mala Sombra</t>
  </si>
  <si>
    <t>Angel´s Share Kilian</t>
  </si>
  <si>
    <t>Absolue D´Osmanthe Perris Montecarlo</t>
  </si>
  <si>
    <t>Enigma Parfum Cologne Roja Parfums</t>
  </si>
  <si>
    <t>Ani Nishane</t>
  </si>
  <si>
    <t>Colonia Leather Acqua Di Parma</t>
  </si>
  <si>
    <t>Meydan Spirit Of Dubai</t>
  </si>
  <si>
    <t>Cuir Yves Saint Laurent</t>
  </si>
  <si>
    <t>Leather Shot Olfative Studio</t>
  </si>
  <si>
    <t>Cuirs Carner barcelona</t>
  </si>
  <si>
    <t>D600 Carner Barcelona</t>
  </si>
  <si>
    <t>Ora Mallo Parfums</t>
  </si>
  <si>
    <t>Ara Mallo Parfums</t>
  </si>
  <si>
    <t>Jara Ponsá Barcelona</t>
  </si>
  <si>
    <t>Tango Masque Milano</t>
  </si>
  <si>
    <t>Proibito Unico Perfume</t>
  </si>
  <si>
    <t>The Essence Francesca Bianchi</t>
  </si>
  <si>
    <t>For Attention Niviru</t>
  </si>
  <si>
    <t>Purple Rain Prada</t>
  </si>
  <si>
    <t>Cargo de Nuit Prada</t>
  </si>
  <si>
    <t>Arabian Oud Amiri</t>
  </si>
  <si>
    <t>Triumph of Bacchus Extrait Argos</t>
  </si>
  <si>
    <t>Torino 25 Xerjoff</t>
  </si>
  <si>
    <t>Starlight Xerjoff</t>
  </si>
  <si>
    <t>La Capitale Xerjoff</t>
  </si>
  <si>
    <t>Lamar Kajal</t>
  </si>
  <si>
    <t>Bodacious Boadicea The Victorious</t>
  </si>
  <si>
    <t>Battito D´Ali Profumum Roma</t>
  </si>
  <si>
    <t>Le Notti di Goa Sapna - Sasva</t>
  </si>
  <si>
    <t>Green Irish Tweed Creed</t>
  </si>
  <si>
    <t>Apex Eau Intense Roja Parfums</t>
  </si>
  <si>
    <t>Elysium Eau Intense Roja Parfums</t>
  </si>
  <si>
    <t>Ambre des Abysses Houbigant Paris</t>
  </si>
  <si>
    <t>The tragedy of Lord George Penhaligon´s</t>
  </si>
  <si>
    <t>Sartorial Penhaligon´s</t>
  </si>
  <si>
    <t>Bois Imperial Essential Parfums</t>
  </si>
  <si>
    <t>Masculin Pluriel Maison Frances Kurkdjian</t>
  </si>
  <si>
    <t>Apple Brandy Kilian</t>
  </si>
  <si>
    <t>Orpheon Diptyque</t>
  </si>
  <si>
    <t>Ganymede Marc-Antoine Barrois</t>
  </si>
  <si>
    <t>Au Coeur du Desert Andy Tauer</t>
  </si>
  <si>
    <t>5 Rosendo Mateu</t>
  </si>
  <si>
    <t>Babycat Yves Saint Laurent</t>
  </si>
  <si>
    <t>Tuxedo Yves Saint Laurent</t>
  </si>
  <si>
    <t>7 Rosendo Mateu</t>
  </si>
  <si>
    <t>Side Effect Initio</t>
  </si>
  <si>
    <t>Althair Parfums de Marly</t>
  </si>
  <si>
    <t>By the fireplace Maison Margiela</t>
  </si>
  <si>
    <t>Oudh Al Boruzz Asrar Indonesia</t>
  </si>
  <si>
    <t>Ous Satin Mood EDP Maison Fraces Kurkdjian</t>
  </si>
  <si>
    <t>Il padrino Sospiro</t>
  </si>
  <si>
    <t>Oud Voyager Tom Ford</t>
  </si>
  <si>
    <t>Tobacco Vanille Tom Ford</t>
  </si>
  <si>
    <t>Glistening Boadicea The Victorious</t>
  </si>
  <si>
    <t>Layton Parfums de Marly</t>
  </si>
  <si>
    <t>Grand Soir Maison Frances Kurkdjian</t>
  </si>
  <si>
    <t>6 Place Saint Sulpice Yves Saint Laurent</t>
  </si>
  <si>
    <t>Drunk Lovers Born to Standout</t>
  </si>
  <si>
    <t>Patchouli of the underworld Electimuss</t>
  </si>
  <si>
    <t>Soho Superz Budapest</t>
  </si>
  <si>
    <t>African Leather Memo Paris</t>
  </si>
  <si>
    <t>Golden Dallah xerjoff</t>
  </si>
  <si>
    <t>Oud Maracuja Maison Crivelli</t>
  </si>
  <si>
    <t>Instant Crush Mancera</t>
  </si>
  <si>
    <t>Erba Pura Xerjoff</t>
  </si>
  <si>
    <t>Erba Gold Xerjoff</t>
  </si>
  <si>
    <t>Azrak de Boadicea</t>
  </si>
  <si>
    <t>Gris Dior de Christian Dior</t>
  </si>
  <si>
    <t>The Code of Emotion de Francesca Bianchi</t>
  </si>
  <si>
    <t>Apom de Maison Fracis Kurkdjian</t>
  </si>
  <si>
    <t>Iperborea EDT de Lorenzo Villoresi Firenza</t>
  </si>
  <si>
    <t>La prima de Milano Fraganza</t>
  </si>
  <si>
    <t>Bianco Latte de Gilardini di Toscana</t>
  </si>
  <si>
    <t>Greenwich Village de Bond nº9</t>
  </si>
  <si>
    <t>Silky Woods de Goldfield&amp;Banks</t>
  </si>
  <si>
    <t xml:space="preserve">Gris EDP de Charnel </t>
  </si>
  <si>
    <t>Impadia de Charnel</t>
  </si>
  <si>
    <t>Rouge Malachite de Armani Pive</t>
  </si>
  <si>
    <t>Erotika Maximale de New Notes</t>
  </si>
  <si>
    <t>Lune Feline de Atelier des Ors</t>
  </si>
  <si>
    <t>Tilia de Marc-Antoine Barrois</t>
  </si>
  <si>
    <t>Fétiche la Rose de Christian Louboutin</t>
  </si>
  <si>
    <t>One Umbrella for Two de Floriakü</t>
  </si>
  <si>
    <t>Sonic Flower de Room 1015</t>
  </si>
  <si>
    <t>Lira de Casamorati</t>
  </si>
  <si>
    <t>Marfa de Memo París</t>
  </si>
  <si>
    <t>Musk Therapy de Initio</t>
  </si>
  <si>
    <t>Paragon de Initio</t>
  </si>
  <si>
    <t xml:space="preserve">Oud Orange Intense Fragance du Bois </t>
  </si>
  <si>
    <t>28 de Daniel Josier</t>
  </si>
  <si>
    <t>Sharing Concept de Corel</t>
  </si>
  <si>
    <t>Poets of Berlin de Vilhelm Parfumerie</t>
  </si>
  <si>
    <t>F.OLFATIVA</t>
  </si>
  <si>
    <t>Oriental Floral</t>
  </si>
  <si>
    <t>Almizcle floral Amaderado</t>
  </si>
  <si>
    <t>Oriental</t>
  </si>
  <si>
    <t>Oriental amaderada</t>
  </si>
  <si>
    <t>Oriental Fougére</t>
  </si>
  <si>
    <t>Oriental Vainilla</t>
  </si>
  <si>
    <t>Cítrica</t>
  </si>
  <si>
    <t>Oriental especiada</t>
  </si>
  <si>
    <t>Cítrica amaderada</t>
  </si>
  <si>
    <t>Cítrica aromática</t>
  </si>
  <si>
    <t>Amaderada especiada</t>
  </si>
  <si>
    <t>Amaderada chipre</t>
  </si>
  <si>
    <t>Almizcle amaderada</t>
  </si>
  <si>
    <t>Cítrica gourmand</t>
  </si>
  <si>
    <t>Amaderada cuero</t>
  </si>
  <si>
    <t>Cuero</t>
  </si>
  <si>
    <t>Floral almizclada</t>
  </si>
  <si>
    <t>Almizclado amaderado floral</t>
  </si>
  <si>
    <t>Gourmand vainilla</t>
  </si>
  <si>
    <t>Amaderada aromática</t>
  </si>
  <si>
    <t>Fougere aromática</t>
  </si>
  <si>
    <t>Amaderada cítrica</t>
  </si>
  <si>
    <t>Amaderado cítrica</t>
  </si>
  <si>
    <t>Aromática Frutal</t>
  </si>
  <si>
    <t>Aromática acuática</t>
  </si>
  <si>
    <t>Cítrica acuática</t>
  </si>
  <si>
    <t>Aromática verde</t>
  </si>
  <si>
    <t>Fougére aromático</t>
  </si>
  <si>
    <t xml:space="preserve">Floral </t>
  </si>
  <si>
    <t>Tony Iommi Xerjoff</t>
  </si>
  <si>
    <t>Cuero gourmand</t>
  </si>
  <si>
    <t>Oriental gourmand</t>
  </si>
  <si>
    <t>Floral ambarada</t>
  </si>
  <si>
    <t>Fougere</t>
  </si>
  <si>
    <t>Floral frutal gourmand</t>
  </si>
  <si>
    <t>Amaderada</t>
  </si>
  <si>
    <t>Chipre cítrico</t>
  </si>
  <si>
    <t>Ambarado cítrico</t>
  </si>
  <si>
    <t>Aromática fougere</t>
  </si>
  <si>
    <t>Aromática</t>
  </si>
  <si>
    <t>Chipre floral</t>
  </si>
  <si>
    <t>Halfeti Penhaligon´s</t>
  </si>
  <si>
    <t>Chipre</t>
  </si>
  <si>
    <t>Oriental vainilla</t>
  </si>
  <si>
    <t>Hipnotizing Fire The Harmonist</t>
  </si>
  <si>
    <t>Oriental cítrica</t>
  </si>
  <si>
    <t>Floral verde</t>
  </si>
  <si>
    <t xml:space="preserve">Floral frutal </t>
  </si>
  <si>
    <t>Almizcle amaderado floral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</si>
</sst>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2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vertical="center"/>
    </xf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2" fillId="4" borderId="0" xfId="0" applyFont="1" applyFill="1"/>
    <xf numFmtId="16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82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7"/>
  <sheetViews>
    <sheetView tabSelected="1" topLeftCell="A23" workbookViewId="0">
      <selection activeCell="A168" sqref="A168"/>
    </sheetView>
  </sheetViews>
  <sheetFormatPr baseColWidth="10" defaultColWidth="8.83203125" defaultRowHeight="15" x14ac:dyDescent="0.2"/>
  <cols>
    <col min="1" max="1" width="23" bestFit="1" customWidth="1"/>
    <col min="3" max="3" width="34.6640625" bestFit="1" customWidth="1"/>
    <col min="4" max="4" width="15.6640625" bestFit="1" customWidth="1"/>
    <col min="5" max="5" width="10.83203125" bestFit="1" customWidth="1"/>
    <col min="6" max="7" width="12.33203125" bestFit="1" customWidth="1"/>
    <col min="8" max="8" width="13.1640625" bestFit="1" customWidth="1"/>
  </cols>
  <sheetData>
    <row r="1" spans="1:20" x14ac:dyDescent="0.2">
      <c r="J1">
        <v>3</v>
      </c>
      <c r="K1">
        <v>3</v>
      </c>
      <c r="L1">
        <v>3</v>
      </c>
      <c r="N1">
        <v>5</v>
      </c>
      <c r="O1">
        <v>5</v>
      </c>
      <c r="P1">
        <v>5</v>
      </c>
      <c r="R1">
        <v>10</v>
      </c>
      <c r="S1">
        <v>10</v>
      </c>
      <c r="T1">
        <v>10</v>
      </c>
    </row>
    <row r="2" spans="1:20" x14ac:dyDescent="0.2">
      <c r="J2">
        <v>35</v>
      </c>
      <c r="K2">
        <v>30</v>
      </c>
      <c r="L2">
        <v>25</v>
      </c>
      <c r="N2">
        <v>35</v>
      </c>
      <c r="O2">
        <v>30</v>
      </c>
      <c r="P2">
        <v>25</v>
      </c>
      <c r="R2">
        <v>35</v>
      </c>
      <c r="S2">
        <v>30</v>
      </c>
      <c r="T2">
        <v>25</v>
      </c>
    </row>
    <row r="4" spans="1:20" x14ac:dyDescent="0.2">
      <c r="A4" t="s">
        <v>167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1:20" s="5" customFormat="1" x14ac:dyDescent="0.2">
      <c r="A5" s="5" t="s">
        <v>168</v>
      </c>
      <c r="B5" s="5">
        <v>1</v>
      </c>
      <c r="C5" s="5" t="s">
        <v>7</v>
      </c>
      <c r="D5" s="5">
        <v>1195</v>
      </c>
      <c r="E5" s="5">
        <v>100</v>
      </c>
      <c r="F5" s="6">
        <f>J5</f>
        <v>48.397500000000001</v>
      </c>
      <c r="G5" s="6">
        <f>O5</f>
        <v>77.674999999999997</v>
      </c>
      <c r="H5" s="6">
        <f>T5</f>
        <v>149.375</v>
      </c>
      <c r="J5" s="5">
        <f>(($D5/$E5)*1.35)*$J$1</f>
        <v>48.397500000000001</v>
      </c>
      <c r="K5" s="5">
        <f>(($D5/$E5)*1.3)*$K$1</f>
        <v>46.605000000000004</v>
      </c>
      <c r="L5" s="5">
        <f>(($D5/$E5)*1.25)*$L$1</f>
        <v>44.8125</v>
      </c>
      <c r="N5" s="5">
        <f>(($D5/$E5)*1.35)*$P$1</f>
        <v>80.662499999999994</v>
      </c>
      <c r="O5" s="5">
        <f>(($D5/$E5)*1.3)*$P$1</f>
        <v>77.674999999999997</v>
      </c>
      <c r="P5" s="5">
        <f>(($D5/$E5)*1.25)*$P$1</f>
        <v>74.6875</v>
      </c>
      <c r="R5" s="5">
        <f>(($D5/$E5)*1.35)*$T$1</f>
        <v>161.32499999999999</v>
      </c>
      <c r="S5" s="5">
        <f>(($D5/$E5)*1.3)*$T$1</f>
        <v>155.35</v>
      </c>
      <c r="T5" s="5">
        <f>(($D5/$E5)*1.25)*$T$1</f>
        <v>149.375</v>
      </c>
    </row>
    <row r="6" spans="1:20" s="5" customFormat="1" x14ac:dyDescent="0.2">
      <c r="A6" s="5" t="s">
        <v>169</v>
      </c>
      <c r="B6" s="5">
        <v>2</v>
      </c>
      <c r="C6" s="5" t="s">
        <v>8</v>
      </c>
      <c r="D6" s="5">
        <v>1150</v>
      </c>
      <c r="E6" s="5">
        <v>100</v>
      </c>
      <c r="F6" s="6">
        <f t="shared" ref="F6:F69" si="0">J6</f>
        <v>46.575000000000003</v>
      </c>
      <c r="G6" s="6">
        <f t="shared" ref="G6:G69" si="1">O6</f>
        <v>74.75</v>
      </c>
      <c r="H6" s="6">
        <f t="shared" ref="H6:H69" si="2">T6</f>
        <v>143.75</v>
      </c>
      <c r="J6" s="5">
        <f t="shared" ref="J6:J103" si="3">(($D6/$E6)*1.35)*$J$1</f>
        <v>46.575000000000003</v>
      </c>
      <c r="K6" s="5">
        <f t="shared" ref="K6:K103" si="4">(($D6/$E6)*1.3)*$K$1</f>
        <v>44.85</v>
      </c>
      <c r="L6" s="5">
        <f t="shared" ref="L6:L69" si="5">(($D6/$E6)*1.25)*$L$1</f>
        <v>43.125</v>
      </c>
      <c r="N6" s="5">
        <f t="shared" ref="N6:N103" si="6">(($D6/$E6)*1.35)*$P$1</f>
        <v>77.625</v>
      </c>
      <c r="O6" s="5">
        <f t="shared" ref="O6:O103" si="7">(($D6/$E6)*1.3)*$P$1</f>
        <v>74.75</v>
      </c>
      <c r="P6" s="5">
        <f t="shared" ref="P6:P69" si="8">(($D6/$E6)*1.25)*$P$1</f>
        <v>71.875</v>
      </c>
      <c r="R6" s="5">
        <f t="shared" ref="R6:R103" si="9">(($D6/$E6)*1.35)*$T$1</f>
        <v>155.25</v>
      </c>
      <c r="S6" s="5">
        <f t="shared" ref="S6:S103" si="10">(($D6/$E6)*1.3)*$T$1</f>
        <v>149.5</v>
      </c>
      <c r="T6" s="5">
        <f t="shared" ref="T6:T69" si="11">(($D6/$E6)*1.25)*$T$1</f>
        <v>143.75</v>
      </c>
    </row>
    <row r="7" spans="1:20" s="5" customFormat="1" x14ac:dyDescent="0.2">
      <c r="A7" s="5" t="s">
        <v>170</v>
      </c>
      <c r="B7" s="5">
        <v>3</v>
      </c>
      <c r="C7" s="5" t="s">
        <v>9</v>
      </c>
      <c r="D7" s="5">
        <v>565</v>
      </c>
      <c r="E7" s="5">
        <v>50</v>
      </c>
      <c r="F7" s="6">
        <f t="shared" si="0"/>
        <v>45.765000000000008</v>
      </c>
      <c r="G7" s="6">
        <f t="shared" si="1"/>
        <v>73.45</v>
      </c>
      <c r="H7" s="6">
        <f t="shared" si="2"/>
        <v>141.25</v>
      </c>
      <c r="J7" s="5">
        <f t="shared" si="3"/>
        <v>45.765000000000008</v>
      </c>
      <c r="K7" s="5">
        <f t="shared" si="4"/>
        <v>44.070000000000007</v>
      </c>
      <c r="L7" s="5">
        <f t="shared" si="5"/>
        <v>42.375</v>
      </c>
      <c r="N7" s="5">
        <f t="shared" si="6"/>
        <v>76.275000000000006</v>
      </c>
      <c r="O7" s="5">
        <f t="shared" si="7"/>
        <v>73.45</v>
      </c>
      <c r="P7" s="5">
        <f t="shared" si="8"/>
        <v>70.625</v>
      </c>
      <c r="R7" s="5">
        <f t="shared" si="9"/>
        <v>152.55000000000001</v>
      </c>
      <c r="S7" s="5">
        <f t="shared" si="10"/>
        <v>146.9</v>
      </c>
      <c r="T7" s="5">
        <f t="shared" si="11"/>
        <v>141.25</v>
      </c>
    </row>
    <row r="8" spans="1:20" s="5" customFormat="1" x14ac:dyDescent="0.2">
      <c r="A8" s="5" t="s">
        <v>171</v>
      </c>
      <c r="B8" s="5">
        <v>4</v>
      </c>
      <c r="C8" s="5" t="s">
        <v>10</v>
      </c>
      <c r="D8" s="5">
        <v>565</v>
      </c>
      <c r="E8" s="5">
        <v>50</v>
      </c>
      <c r="F8" s="6">
        <f t="shared" si="0"/>
        <v>45.765000000000008</v>
      </c>
      <c r="G8" s="6">
        <f t="shared" si="1"/>
        <v>73.45</v>
      </c>
      <c r="H8" s="6">
        <f t="shared" si="2"/>
        <v>141.25</v>
      </c>
      <c r="J8" s="5">
        <f t="shared" si="3"/>
        <v>45.765000000000008</v>
      </c>
      <c r="K8" s="5">
        <f t="shared" si="4"/>
        <v>44.070000000000007</v>
      </c>
      <c r="L8" s="5">
        <f t="shared" si="5"/>
        <v>42.375</v>
      </c>
      <c r="N8" s="5">
        <f t="shared" si="6"/>
        <v>76.275000000000006</v>
      </c>
      <c r="O8" s="5">
        <f t="shared" si="7"/>
        <v>73.45</v>
      </c>
      <c r="P8" s="5">
        <f t="shared" si="8"/>
        <v>70.625</v>
      </c>
      <c r="R8" s="5">
        <f t="shared" si="9"/>
        <v>152.55000000000001</v>
      </c>
      <c r="S8" s="5">
        <f t="shared" si="10"/>
        <v>146.9</v>
      </c>
      <c r="T8" s="5">
        <f t="shared" si="11"/>
        <v>141.25</v>
      </c>
    </row>
    <row r="9" spans="1:20" s="5" customFormat="1" x14ac:dyDescent="0.2">
      <c r="A9" s="5" t="s">
        <v>172</v>
      </c>
      <c r="B9" s="5">
        <v>5</v>
      </c>
      <c r="C9" s="5" t="s">
        <v>11</v>
      </c>
      <c r="D9" s="5">
        <v>565</v>
      </c>
      <c r="E9" s="5">
        <v>50</v>
      </c>
      <c r="F9" s="6">
        <f t="shared" si="0"/>
        <v>45.765000000000008</v>
      </c>
      <c r="G9" s="6">
        <f t="shared" si="1"/>
        <v>73.45</v>
      </c>
      <c r="H9" s="6">
        <f t="shared" si="2"/>
        <v>141.25</v>
      </c>
      <c r="J9" s="5">
        <f t="shared" si="3"/>
        <v>45.765000000000008</v>
      </c>
      <c r="K9" s="5">
        <f t="shared" si="4"/>
        <v>44.070000000000007</v>
      </c>
      <c r="L9" s="5">
        <f t="shared" si="5"/>
        <v>42.375</v>
      </c>
      <c r="N9" s="5">
        <f t="shared" si="6"/>
        <v>76.275000000000006</v>
      </c>
      <c r="O9" s="5">
        <f t="shared" si="7"/>
        <v>73.45</v>
      </c>
      <c r="P9" s="5">
        <f t="shared" si="8"/>
        <v>70.625</v>
      </c>
      <c r="R9" s="5">
        <f t="shared" si="9"/>
        <v>152.55000000000001</v>
      </c>
      <c r="S9" s="5">
        <f t="shared" si="10"/>
        <v>146.9</v>
      </c>
      <c r="T9" s="5">
        <f t="shared" si="11"/>
        <v>141.25</v>
      </c>
    </row>
    <row r="10" spans="1:20" s="5" customFormat="1" x14ac:dyDescent="0.2">
      <c r="A10" s="5" t="s">
        <v>173</v>
      </c>
      <c r="B10" s="5">
        <v>6</v>
      </c>
      <c r="C10" s="5" t="s">
        <v>12</v>
      </c>
      <c r="D10" s="5">
        <v>555</v>
      </c>
      <c r="E10" s="5">
        <v>50</v>
      </c>
      <c r="F10" s="6">
        <f t="shared" si="0"/>
        <v>44.955000000000005</v>
      </c>
      <c r="G10" s="6">
        <f t="shared" si="1"/>
        <v>72.150000000000006</v>
      </c>
      <c r="H10" s="6">
        <f t="shared" si="2"/>
        <v>138.75</v>
      </c>
      <c r="J10" s="5">
        <f t="shared" si="3"/>
        <v>44.955000000000005</v>
      </c>
      <c r="K10" s="5">
        <f t="shared" si="4"/>
        <v>43.29</v>
      </c>
      <c r="L10" s="5">
        <f t="shared" si="5"/>
        <v>41.625</v>
      </c>
      <c r="N10" s="5">
        <f t="shared" si="6"/>
        <v>74.925000000000011</v>
      </c>
      <c r="O10" s="5">
        <f t="shared" si="7"/>
        <v>72.150000000000006</v>
      </c>
      <c r="P10" s="5">
        <f t="shared" si="8"/>
        <v>69.375</v>
      </c>
      <c r="R10" s="5">
        <f t="shared" si="9"/>
        <v>149.85000000000002</v>
      </c>
      <c r="S10" s="5">
        <f t="shared" si="10"/>
        <v>144.30000000000001</v>
      </c>
      <c r="T10" s="5">
        <f t="shared" si="11"/>
        <v>138.75</v>
      </c>
    </row>
    <row r="11" spans="1:20" s="5" customFormat="1" x14ac:dyDescent="0.2">
      <c r="A11" s="5" t="s">
        <v>171</v>
      </c>
      <c r="B11" s="5">
        <v>7</v>
      </c>
      <c r="C11" s="5" t="s">
        <v>13</v>
      </c>
      <c r="D11" s="5">
        <v>420</v>
      </c>
      <c r="E11" s="5">
        <v>100</v>
      </c>
      <c r="F11" s="6">
        <f t="shared" si="0"/>
        <v>17.010000000000002</v>
      </c>
      <c r="G11" s="6">
        <f t="shared" si="1"/>
        <v>27.300000000000004</v>
      </c>
      <c r="H11" s="6">
        <f t="shared" si="2"/>
        <v>52.5</v>
      </c>
      <c r="J11" s="5">
        <f t="shared" si="3"/>
        <v>17.010000000000002</v>
      </c>
      <c r="K11" s="5">
        <f t="shared" si="4"/>
        <v>16.380000000000003</v>
      </c>
      <c r="L11" s="5">
        <f t="shared" si="5"/>
        <v>15.75</v>
      </c>
      <c r="N11" s="5">
        <f t="shared" si="6"/>
        <v>28.350000000000005</v>
      </c>
      <c r="O11" s="5">
        <f t="shared" si="7"/>
        <v>27.300000000000004</v>
      </c>
      <c r="P11" s="5">
        <f t="shared" si="8"/>
        <v>26.25</v>
      </c>
      <c r="R11" s="5">
        <f t="shared" si="9"/>
        <v>56.70000000000001</v>
      </c>
      <c r="S11" s="5">
        <f t="shared" si="10"/>
        <v>54.600000000000009</v>
      </c>
      <c r="T11" s="5">
        <f t="shared" si="11"/>
        <v>52.5</v>
      </c>
    </row>
    <row r="12" spans="1:20" s="5" customFormat="1" x14ac:dyDescent="0.2">
      <c r="A12" s="5" t="s">
        <v>174</v>
      </c>
      <c r="B12" s="5">
        <v>8</v>
      </c>
      <c r="C12" s="5" t="s">
        <v>14</v>
      </c>
      <c r="D12" s="5">
        <v>465</v>
      </c>
      <c r="E12" s="5">
        <v>50</v>
      </c>
      <c r="F12" s="6">
        <f t="shared" si="0"/>
        <v>37.665000000000006</v>
      </c>
      <c r="G12" s="6">
        <f t="shared" si="1"/>
        <v>60.45000000000001</v>
      </c>
      <c r="H12" s="6">
        <f t="shared" si="2"/>
        <v>116.25</v>
      </c>
      <c r="J12" s="5">
        <f t="shared" si="3"/>
        <v>37.665000000000006</v>
      </c>
      <c r="K12" s="5">
        <f t="shared" si="4"/>
        <v>36.270000000000003</v>
      </c>
      <c r="L12" s="5">
        <f t="shared" si="5"/>
        <v>34.875</v>
      </c>
      <c r="N12" s="5">
        <f t="shared" si="6"/>
        <v>62.775000000000006</v>
      </c>
      <c r="O12" s="5">
        <f t="shared" si="7"/>
        <v>60.45000000000001</v>
      </c>
      <c r="P12" s="5">
        <f t="shared" si="8"/>
        <v>58.125</v>
      </c>
      <c r="R12" s="5">
        <f t="shared" si="9"/>
        <v>125.55000000000001</v>
      </c>
      <c r="S12" s="5">
        <f t="shared" si="10"/>
        <v>120.90000000000002</v>
      </c>
      <c r="T12" s="5">
        <f t="shared" si="11"/>
        <v>116.25</v>
      </c>
    </row>
    <row r="13" spans="1:20" s="5" customFormat="1" x14ac:dyDescent="0.2">
      <c r="A13" s="5" t="s">
        <v>175</v>
      </c>
      <c r="B13" s="5">
        <v>9</v>
      </c>
      <c r="C13" s="5" t="s">
        <v>15</v>
      </c>
      <c r="D13" s="5">
        <v>490</v>
      </c>
      <c r="E13" s="5">
        <v>100</v>
      </c>
      <c r="F13" s="6">
        <f t="shared" si="0"/>
        <v>19.845000000000002</v>
      </c>
      <c r="G13" s="6">
        <f t="shared" si="1"/>
        <v>31.850000000000005</v>
      </c>
      <c r="H13" s="6">
        <f t="shared" si="2"/>
        <v>61.25</v>
      </c>
      <c r="J13" s="5">
        <f t="shared" si="3"/>
        <v>19.845000000000002</v>
      </c>
      <c r="K13" s="5">
        <f t="shared" si="4"/>
        <v>19.110000000000003</v>
      </c>
      <c r="L13" s="5">
        <f t="shared" si="5"/>
        <v>18.375</v>
      </c>
      <c r="N13" s="5">
        <f t="shared" si="6"/>
        <v>33.075000000000003</v>
      </c>
      <c r="O13" s="5">
        <f t="shared" si="7"/>
        <v>31.850000000000005</v>
      </c>
      <c r="P13" s="5">
        <f t="shared" si="8"/>
        <v>30.625</v>
      </c>
      <c r="R13" s="5">
        <f t="shared" si="9"/>
        <v>66.150000000000006</v>
      </c>
      <c r="S13" s="5">
        <f t="shared" si="10"/>
        <v>63.70000000000001</v>
      </c>
      <c r="T13" s="5">
        <f t="shared" si="11"/>
        <v>61.25</v>
      </c>
    </row>
    <row r="14" spans="1:20" s="5" customFormat="1" x14ac:dyDescent="0.2">
      <c r="A14" s="5" t="s">
        <v>176</v>
      </c>
      <c r="B14" s="5">
        <v>10</v>
      </c>
      <c r="C14" s="5" t="s">
        <v>16</v>
      </c>
      <c r="D14" s="5">
        <v>340</v>
      </c>
      <c r="E14" s="5">
        <v>100</v>
      </c>
      <c r="F14" s="6">
        <f t="shared" si="0"/>
        <v>13.77</v>
      </c>
      <c r="G14" s="6">
        <f t="shared" si="1"/>
        <v>22.1</v>
      </c>
      <c r="H14" s="6">
        <f t="shared" si="2"/>
        <v>42.5</v>
      </c>
      <c r="J14" s="5">
        <f t="shared" si="3"/>
        <v>13.77</v>
      </c>
      <c r="K14" s="5">
        <f t="shared" si="4"/>
        <v>13.26</v>
      </c>
      <c r="L14" s="5">
        <f t="shared" si="5"/>
        <v>12.75</v>
      </c>
      <c r="N14" s="5">
        <f t="shared" si="6"/>
        <v>22.95</v>
      </c>
      <c r="O14" s="5">
        <f t="shared" si="7"/>
        <v>22.1</v>
      </c>
      <c r="P14" s="5">
        <f t="shared" si="8"/>
        <v>21.25</v>
      </c>
      <c r="R14" s="5">
        <f t="shared" si="9"/>
        <v>45.9</v>
      </c>
      <c r="S14" s="5">
        <f t="shared" si="10"/>
        <v>44.2</v>
      </c>
      <c r="T14" s="5">
        <f t="shared" si="11"/>
        <v>42.5</v>
      </c>
    </row>
    <row r="15" spans="1:20" s="5" customFormat="1" x14ac:dyDescent="0.2">
      <c r="A15" s="5" t="s">
        <v>171</v>
      </c>
      <c r="B15" s="5">
        <v>11</v>
      </c>
      <c r="C15" s="5" t="s">
        <v>17</v>
      </c>
      <c r="D15" s="5">
        <v>295</v>
      </c>
      <c r="E15" s="5">
        <v>100</v>
      </c>
      <c r="F15" s="6">
        <f t="shared" si="0"/>
        <v>11.947500000000002</v>
      </c>
      <c r="G15" s="6">
        <f t="shared" si="1"/>
        <v>19.175000000000001</v>
      </c>
      <c r="H15" s="6">
        <f t="shared" si="2"/>
        <v>36.875</v>
      </c>
      <c r="J15" s="5">
        <f t="shared" si="3"/>
        <v>11.947500000000002</v>
      </c>
      <c r="K15" s="5">
        <f t="shared" si="4"/>
        <v>11.505000000000001</v>
      </c>
      <c r="L15" s="5">
        <f t="shared" si="5"/>
        <v>11.0625</v>
      </c>
      <c r="N15" s="5">
        <f t="shared" si="6"/>
        <v>19.912500000000001</v>
      </c>
      <c r="O15" s="5">
        <f t="shared" si="7"/>
        <v>19.175000000000001</v>
      </c>
      <c r="P15" s="5">
        <f t="shared" si="8"/>
        <v>18.4375</v>
      </c>
      <c r="R15" s="5">
        <f t="shared" si="9"/>
        <v>39.825000000000003</v>
      </c>
      <c r="S15" s="5">
        <f t="shared" si="10"/>
        <v>38.35</v>
      </c>
      <c r="T15" s="5">
        <f t="shared" si="11"/>
        <v>36.875</v>
      </c>
    </row>
    <row r="16" spans="1:20" s="5" customFormat="1" x14ac:dyDescent="0.2">
      <c r="A16" s="5" t="s">
        <v>172</v>
      </c>
      <c r="B16" s="5">
        <v>12</v>
      </c>
      <c r="C16" s="5" t="s">
        <v>18</v>
      </c>
      <c r="D16" s="5">
        <v>565</v>
      </c>
      <c r="E16" s="5">
        <v>50</v>
      </c>
      <c r="F16" s="6">
        <f t="shared" si="0"/>
        <v>45.765000000000008</v>
      </c>
      <c r="G16" s="6">
        <f t="shared" si="1"/>
        <v>73.45</v>
      </c>
      <c r="H16" s="6">
        <f t="shared" si="2"/>
        <v>141.25</v>
      </c>
      <c r="J16" s="5">
        <f t="shared" si="3"/>
        <v>45.765000000000008</v>
      </c>
      <c r="K16" s="5">
        <f t="shared" si="4"/>
        <v>44.070000000000007</v>
      </c>
      <c r="L16" s="5">
        <f t="shared" si="5"/>
        <v>42.375</v>
      </c>
      <c r="N16" s="5">
        <f t="shared" si="6"/>
        <v>76.275000000000006</v>
      </c>
      <c r="O16" s="5">
        <f t="shared" si="7"/>
        <v>73.45</v>
      </c>
      <c r="P16" s="5">
        <f t="shared" si="8"/>
        <v>70.625</v>
      </c>
      <c r="R16" s="5">
        <f t="shared" si="9"/>
        <v>152.55000000000001</v>
      </c>
      <c r="S16" s="5">
        <f t="shared" si="10"/>
        <v>146.9</v>
      </c>
      <c r="T16" s="5">
        <f t="shared" si="11"/>
        <v>141.25</v>
      </c>
    </row>
    <row r="17" spans="1:20" s="5" customFormat="1" x14ac:dyDescent="0.2">
      <c r="A17" s="5" t="s">
        <v>177</v>
      </c>
      <c r="B17" s="5">
        <v>13</v>
      </c>
      <c r="C17" s="5" t="s">
        <v>19</v>
      </c>
      <c r="D17" s="5">
        <v>360</v>
      </c>
      <c r="E17" s="5">
        <v>50</v>
      </c>
      <c r="F17" s="6">
        <f t="shared" si="0"/>
        <v>29.160000000000004</v>
      </c>
      <c r="G17" s="6">
        <f t="shared" si="1"/>
        <v>46.800000000000004</v>
      </c>
      <c r="H17" s="6">
        <f t="shared" si="2"/>
        <v>90</v>
      </c>
      <c r="J17" s="5">
        <f t="shared" si="3"/>
        <v>29.160000000000004</v>
      </c>
      <c r="K17" s="5">
        <f t="shared" si="4"/>
        <v>28.080000000000005</v>
      </c>
      <c r="L17" s="5">
        <f t="shared" si="5"/>
        <v>27</v>
      </c>
      <c r="N17" s="5">
        <f t="shared" si="6"/>
        <v>48.6</v>
      </c>
      <c r="O17" s="5">
        <f t="shared" si="7"/>
        <v>46.800000000000004</v>
      </c>
      <c r="P17" s="5">
        <f t="shared" si="8"/>
        <v>45</v>
      </c>
      <c r="R17" s="5">
        <f t="shared" si="9"/>
        <v>97.2</v>
      </c>
      <c r="S17" s="5">
        <f t="shared" si="10"/>
        <v>93.600000000000009</v>
      </c>
      <c r="T17" s="5">
        <f t="shared" si="11"/>
        <v>90</v>
      </c>
    </row>
    <row r="18" spans="1:20" s="5" customFormat="1" x14ac:dyDescent="0.2">
      <c r="A18" s="5" t="s">
        <v>175</v>
      </c>
      <c r="B18" s="5">
        <v>14</v>
      </c>
      <c r="C18" s="5" t="s">
        <v>20</v>
      </c>
      <c r="D18" s="5">
        <v>235</v>
      </c>
      <c r="E18" s="5">
        <v>100</v>
      </c>
      <c r="F18" s="6">
        <f t="shared" si="0"/>
        <v>9.5175000000000018</v>
      </c>
      <c r="G18" s="6">
        <f t="shared" si="1"/>
        <v>15.275</v>
      </c>
      <c r="H18" s="6">
        <f t="shared" si="2"/>
        <v>29.375</v>
      </c>
      <c r="J18" s="5">
        <f t="shared" si="3"/>
        <v>9.5175000000000018</v>
      </c>
      <c r="K18" s="5">
        <f t="shared" si="4"/>
        <v>9.1650000000000009</v>
      </c>
      <c r="L18" s="5">
        <f t="shared" si="5"/>
        <v>8.8125</v>
      </c>
      <c r="N18" s="5">
        <f t="shared" si="6"/>
        <v>15.862500000000001</v>
      </c>
      <c r="O18" s="5">
        <f t="shared" si="7"/>
        <v>15.275</v>
      </c>
      <c r="P18" s="5">
        <f t="shared" si="8"/>
        <v>14.6875</v>
      </c>
      <c r="R18" s="5">
        <f t="shared" si="9"/>
        <v>31.725000000000001</v>
      </c>
      <c r="S18" s="5">
        <f t="shared" si="10"/>
        <v>30.55</v>
      </c>
      <c r="T18" s="5">
        <f t="shared" si="11"/>
        <v>29.375</v>
      </c>
    </row>
    <row r="19" spans="1:20" s="5" customFormat="1" x14ac:dyDescent="0.2">
      <c r="A19" s="5" t="s">
        <v>171</v>
      </c>
      <c r="B19" s="5">
        <v>15</v>
      </c>
      <c r="C19" s="5" t="s">
        <v>21</v>
      </c>
      <c r="D19" s="5">
        <v>580</v>
      </c>
      <c r="E19" s="5">
        <v>100</v>
      </c>
      <c r="F19" s="6">
        <f t="shared" si="0"/>
        <v>23.490000000000002</v>
      </c>
      <c r="G19" s="6">
        <f t="shared" si="1"/>
        <v>37.700000000000003</v>
      </c>
      <c r="H19" s="6">
        <f t="shared" si="2"/>
        <v>72.5</v>
      </c>
      <c r="J19" s="5">
        <f t="shared" si="3"/>
        <v>23.490000000000002</v>
      </c>
      <c r="K19" s="5">
        <f t="shared" si="4"/>
        <v>22.62</v>
      </c>
      <c r="L19" s="5">
        <f t="shared" si="5"/>
        <v>21.75</v>
      </c>
      <c r="N19" s="5">
        <f t="shared" si="6"/>
        <v>39.15</v>
      </c>
      <c r="O19" s="5">
        <f t="shared" si="7"/>
        <v>37.700000000000003</v>
      </c>
      <c r="P19" s="5">
        <f t="shared" si="8"/>
        <v>36.25</v>
      </c>
      <c r="R19" s="5">
        <f t="shared" si="9"/>
        <v>78.3</v>
      </c>
      <c r="S19" s="5">
        <f t="shared" si="10"/>
        <v>75.400000000000006</v>
      </c>
      <c r="T19" s="5">
        <f t="shared" si="11"/>
        <v>72.5</v>
      </c>
    </row>
    <row r="20" spans="1:20" s="5" customFormat="1" x14ac:dyDescent="0.2">
      <c r="A20" s="5" t="s">
        <v>178</v>
      </c>
      <c r="B20" s="5">
        <v>16</v>
      </c>
      <c r="C20" s="5" t="s">
        <v>22</v>
      </c>
      <c r="D20" s="5">
        <v>355</v>
      </c>
      <c r="E20" s="5">
        <v>100</v>
      </c>
      <c r="F20" s="6">
        <f t="shared" si="0"/>
        <v>14.377500000000001</v>
      </c>
      <c r="G20" s="6">
        <f t="shared" si="1"/>
        <v>23.075000000000003</v>
      </c>
      <c r="H20" s="6">
        <f t="shared" si="2"/>
        <v>44.375</v>
      </c>
      <c r="J20" s="5">
        <f t="shared" si="3"/>
        <v>14.377500000000001</v>
      </c>
      <c r="K20" s="5">
        <f t="shared" si="4"/>
        <v>13.845000000000001</v>
      </c>
      <c r="L20" s="5">
        <f t="shared" si="5"/>
        <v>13.3125</v>
      </c>
      <c r="N20" s="5">
        <f t="shared" si="6"/>
        <v>23.962500000000002</v>
      </c>
      <c r="O20" s="5">
        <f t="shared" si="7"/>
        <v>23.075000000000003</v>
      </c>
      <c r="P20" s="5">
        <f t="shared" si="8"/>
        <v>22.1875</v>
      </c>
      <c r="R20" s="5">
        <f t="shared" si="9"/>
        <v>47.925000000000004</v>
      </c>
      <c r="S20" s="5">
        <f t="shared" si="10"/>
        <v>46.150000000000006</v>
      </c>
      <c r="T20" s="5">
        <f t="shared" si="11"/>
        <v>44.375</v>
      </c>
    </row>
    <row r="21" spans="1:20" s="5" customFormat="1" x14ac:dyDescent="0.2">
      <c r="A21" s="5" t="s">
        <v>175</v>
      </c>
      <c r="B21" s="5">
        <v>17</v>
      </c>
      <c r="C21" s="5" t="s">
        <v>23</v>
      </c>
      <c r="D21" s="5">
        <v>395</v>
      </c>
      <c r="E21" s="5">
        <v>100</v>
      </c>
      <c r="F21" s="6">
        <f t="shared" si="0"/>
        <v>15.997500000000002</v>
      </c>
      <c r="G21" s="6">
        <f t="shared" si="1"/>
        <v>25.675000000000004</v>
      </c>
      <c r="H21" s="6">
        <f t="shared" si="2"/>
        <v>49.375</v>
      </c>
      <c r="J21" s="5">
        <f t="shared" si="3"/>
        <v>15.997500000000002</v>
      </c>
      <c r="K21" s="5">
        <f t="shared" si="4"/>
        <v>15.405000000000001</v>
      </c>
      <c r="L21" s="5">
        <f t="shared" si="5"/>
        <v>14.8125</v>
      </c>
      <c r="N21" s="5">
        <f t="shared" si="6"/>
        <v>26.662500000000001</v>
      </c>
      <c r="O21" s="5">
        <f t="shared" si="7"/>
        <v>25.675000000000004</v>
      </c>
      <c r="P21" s="5">
        <f t="shared" si="8"/>
        <v>24.6875</v>
      </c>
      <c r="R21" s="5">
        <f t="shared" si="9"/>
        <v>53.325000000000003</v>
      </c>
      <c r="S21" s="5">
        <f t="shared" si="10"/>
        <v>51.350000000000009</v>
      </c>
      <c r="T21" s="5">
        <f t="shared" si="11"/>
        <v>49.375</v>
      </c>
    </row>
    <row r="22" spans="1:20" s="5" customFormat="1" x14ac:dyDescent="0.2">
      <c r="A22" s="5" t="s">
        <v>173</v>
      </c>
      <c r="B22" s="5">
        <v>18</v>
      </c>
      <c r="C22" s="5" t="s">
        <v>24</v>
      </c>
      <c r="D22" s="5">
        <v>415</v>
      </c>
      <c r="E22" s="5">
        <v>100</v>
      </c>
      <c r="F22" s="6">
        <f t="shared" si="0"/>
        <v>16.807500000000005</v>
      </c>
      <c r="G22" s="6">
        <f t="shared" si="1"/>
        <v>26.975000000000001</v>
      </c>
      <c r="H22" s="6">
        <f t="shared" si="2"/>
        <v>51.875</v>
      </c>
      <c r="J22" s="5">
        <f t="shared" si="3"/>
        <v>16.807500000000005</v>
      </c>
      <c r="K22" s="5">
        <f t="shared" si="4"/>
        <v>16.185000000000002</v>
      </c>
      <c r="L22" s="5">
        <f t="shared" si="5"/>
        <v>15.5625</v>
      </c>
      <c r="N22" s="5">
        <f t="shared" si="6"/>
        <v>28.012500000000003</v>
      </c>
      <c r="O22" s="5">
        <f t="shared" si="7"/>
        <v>26.975000000000001</v>
      </c>
      <c r="P22" s="5">
        <f t="shared" si="8"/>
        <v>25.9375</v>
      </c>
      <c r="R22" s="5">
        <f t="shared" si="9"/>
        <v>56.025000000000006</v>
      </c>
      <c r="S22" s="5">
        <f t="shared" si="10"/>
        <v>53.95</v>
      </c>
      <c r="T22" s="5">
        <f t="shared" si="11"/>
        <v>51.875</v>
      </c>
    </row>
    <row r="23" spans="1:20" s="5" customFormat="1" x14ac:dyDescent="0.2">
      <c r="A23" s="5" t="s">
        <v>168</v>
      </c>
      <c r="B23" s="5">
        <v>19</v>
      </c>
      <c r="C23" s="5" t="s">
        <v>25</v>
      </c>
      <c r="D23" s="5">
        <v>1150</v>
      </c>
      <c r="E23" s="5">
        <v>100</v>
      </c>
      <c r="F23" s="6">
        <f t="shared" si="0"/>
        <v>46.575000000000003</v>
      </c>
      <c r="G23" s="6">
        <f t="shared" si="1"/>
        <v>74.75</v>
      </c>
      <c r="H23" s="6">
        <f t="shared" si="2"/>
        <v>143.75</v>
      </c>
      <c r="J23" s="5">
        <f t="shared" si="3"/>
        <v>46.575000000000003</v>
      </c>
      <c r="K23" s="5">
        <f t="shared" si="4"/>
        <v>44.85</v>
      </c>
      <c r="L23" s="5">
        <f t="shared" si="5"/>
        <v>43.125</v>
      </c>
      <c r="N23" s="5">
        <f t="shared" si="6"/>
        <v>77.625</v>
      </c>
      <c r="O23" s="5">
        <f t="shared" si="7"/>
        <v>74.75</v>
      </c>
      <c r="P23" s="5">
        <f t="shared" si="8"/>
        <v>71.875</v>
      </c>
      <c r="R23" s="5">
        <f t="shared" si="9"/>
        <v>155.25</v>
      </c>
      <c r="S23" s="5">
        <f t="shared" si="10"/>
        <v>149.5</v>
      </c>
      <c r="T23" s="5">
        <f t="shared" si="11"/>
        <v>143.75</v>
      </c>
    </row>
    <row r="24" spans="1:20" s="5" customFormat="1" x14ac:dyDescent="0.2">
      <c r="A24" s="5" t="s">
        <v>171</v>
      </c>
      <c r="B24" s="5">
        <v>20</v>
      </c>
      <c r="C24" s="5" t="s">
        <v>26</v>
      </c>
      <c r="D24" s="5">
        <v>340</v>
      </c>
      <c r="E24" s="5">
        <v>50</v>
      </c>
      <c r="F24" s="6">
        <f t="shared" si="0"/>
        <v>27.54</v>
      </c>
      <c r="G24" s="6">
        <f t="shared" si="1"/>
        <v>44.2</v>
      </c>
      <c r="H24" s="6">
        <f t="shared" si="2"/>
        <v>85</v>
      </c>
      <c r="J24" s="5">
        <f t="shared" si="3"/>
        <v>27.54</v>
      </c>
      <c r="K24" s="5">
        <f t="shared" si="4"/>
        <v>26.52</v>
      </c>
      <c r="L24" s="5">
        <f t="shared" si="5"/>
        <v>25.5</v>
      </c>
      <c r="N24" s="5">
        <f t="shared" si="6"/>
        <v>45.9</v>
      </c>
      <c r="O24" s="5">
        <f t="shared" si="7"/>
        <v>44.2</v>
      </c>
      <c r="P24" s="5">
        <f t="shared" si="8"/>
        <v>42.5</v>
      </c>
      <c r="R24" s="5">
        <f t="shared" si="9"/>
        <v>91.8</v>
      </c>
      <c r="S24" s="5">
        <f t="shared" si="10"/>
        <v>88.4</v>
      </c>
      <c r="T24" s="5">
        <f t="shared" si="11"/>
        <v>85</v>
      </c>
    </row>
    <row r="25" spans="1:20" s="7" customFormat="1" x14ac:dyDescent="0.2">
      <c r="A25" s="7" t="s">
        <v>179</v>
      </c>
      <c r="C25" s="7" t="s">
        <v>27</v>
      </c>
      <c r="D25" s="7">
        <v>490</v>
      </c>
      <c r="E25" s="7">
        <v>100</v>
      </c>
      <c r="F25" s="8">
        <f>J25</f>
        <v>19.845000000000002</v>
      </c>
      <c r="G25" s="8">
        <f>O25</f>
        <v>31.850000000000005</v>
      </c>
      <c r="H25" s="8">
        <f>T25</f>
        <v>61.25</v>
      </c>
      <c r="J25" s="7">
        <f>(($D25/$E25)*1.35)*$J$1</f>
        <v>19.845000000000002</v>
      </c>
      <c r="K25" s="7">
        <f>(($D25/$E25)*1.3)*$K$1</f>
        <v>19.110000000000003</v>
      </c>
      <c r="L25" s="7">
        <f>(($D25/$E25)*1.25)*$L$1</f>
        <v>18.375</v>
      </c>
      <c r="N25" s="7">
        <f>(($D25/$E25)*1.35)*$P$1</f>
        <v>33.075000000000003</v>
      </c>
      <c r="O25" s="7">
        <f>(($D25/$E25)*1.3)*$P$1</f>
        <v>31.850000000000005</v>
      </c>
      <c r="P25" s="7">
        <f>(($D25/$E25)*1.25)*$P$1</f>
        <v>30.625</v>
      </c>
      <c r="R25" s="7">
        <f>(($D25/$E25)*1.35)*$T$1</f>
        <v>66.150000000000006</v>
      </c>
      <c r="S25" s="7">
        <f>(($D25/$E25)*1.3)*$T$1</f>
        <v>63.70000000000001</v>
      </c>
      <c r="T25" s="7">
        <f>(($D25/$E25)*1.25)*$T$1</f>
        <v>61.25</v>
      </c>
    </row>
    <row r="26" spans="1:20" s="7" customFormat="1" x14ac:dyDescent="0.2">
      <c r="A26" s="7" t="s">
        <v>171</v>
      </c>
      <c r="C26" s="7" t="s">
        <v>28</v>
      </c>
      <c r="D26" s="7">
        <v>365</v>
      </c>
      <c r="E26" s="7">
        <v>100</v>
      </c>
      <c r="F26" s="8">
        <f t="shared" si="0"/>
        <v>14.782500000000001</v>
      </c>
      <c r="G26" s="8">
        <f t="shared" si="1"/>
        <v>23.725000000000001</v>
      </c>
      <c r="H26" s="8">
        <f t="shared" si="2"/>
        <v>45.625</v>
      </c>
      <c r="J26" s="7">
        <f t="shared" si="3"/>
        <v>14.782500000000001</v>
      </c>
      <c r="K26" s="7">
        <f t="shared" si="4"/>
        <v>14.234999999999999</v>
      </c>
      <c r="L26" s="7">
        <f t="shared" si="5"/>
        <v>13.6875</v>
      </c>
      <c r="N26" s="7">
        <f t="shared" si="6"/>
        <v>24.637500000000003</v>
      </c>
      <c r="O26" s="7">
        <f t="shared" si="7"/>
        <v>23.725000000000001</v>
      </c>
      <c r="P26" s="7">
        <f t="shared" si="8"/>
        <v>22.8125</v>
      </c>
      <c r="R26" s="7">
        <f t="shared" si="9"/>
        <v>49.275000000000006</v>
      </c>
      <c r="S26" s="7">
        <f t="shared" si="10"/>
        <v>47.45</v>
      </c>
      <c r="T26" s="7">
        <f t="shared" si="11"/>
        <v>45.625</v>
      </c>
    </row>
    <row r="27" spans="1:20" s="7" customFormat="1" x14ac:dyDescent="0.2">
      <c r="A27" s="7" t="s">
        <v>171</v>
      </c>
      <c r="C27" s="7" t="s">
        <v>29</v>
      </c>
      <c r="D27" s="7">
        <v>365</v>
      </c>
      <c r="E27" s="7">
        <v>100</v>
      </c>
      <c r="F27" s="8">
        <f t="shared" si="0"/>
        <v>14.782500000000001</v>
      </c>
      <c r="G27" s="8">
        <f t="shared" si="1"/>
        <v>23.725000000000001</v>
      </c>
      <c r="H27" s="8">
        <f t="shared" si="2"/>
        <v>45.625</v>
      </c>
      <c r="J27" s="7">
        <f t="shared" si="3"/>
        <v>14.782500000000001</v>
      </c>
      <c r="K27" s="7">
        <f t="shared" si="4"/>
        <v>14.234999999999999</v>
      </c>
      <c r="L27" s="7">
        <f t="shared" si="5"/>
        <v>13.6875</v>
      </c>
      <c r="N27" s="7">
        <f t="shared" si="6"/>
        <v>24.637500000000003</v>
      </c>
      <c r="O27" s="7">
        <f t="shared" si="7"/>
        <v>23.725000000000001</v>
      </c>
      <c r="P27" s="7">
        <f t="shared" si="8"/>
        <v>22.8125</v>
      </c>
      <c r="R27" s="7">
        <f t="shared" si="9"/>
        <v>49.275000000000006</v>
      </c>
      <c r="S27" s="7">
        <f t="shared" si="10"/>
        <v>47.45</v>
      </c>
      <c r="T27" s="7">
        <f t="shared" si="11"/>
        <v>45.625</v>
      </c>
    </row>
    <row r="28" spans="1:20" s="7" customFormat="1" x14ac:dyDescent="0.2">
      <c r="A28" s="7" t="s">
        <v>171</v>
      </c>
      <c r="C28" s="7" t="s">
        <v>30</v>
      </c>
      <c r="D28" s="7">
        <v>365</v>
      </c>
      <c r="E28" s="7">
        <v>100</v>
      </c>
      <c r="F28" s="8">
        <f t="shared" si="0"/>
        <v>14.782500000000001</v>
      </c>
      <c r="G28" s="8">
        <f t="shared" si="1"/>
        <v>23.725000000000001</v>
      </c>
      <c r="H28" s="8">
        <f t="shared" si="2"/>
        <v>45.625</v>
      </c>
      <c r="J28" s="7">
        <f t="shared" si="3"/>
        <v>14.782500000000001</v>
      </c>
      <c r="K28" s="7">
        <f t="shared" si="4"/>
        <v>14.234999999999999</v>
      </c>
      <c r="L28" s="7">
        <f t="shared" si="5"/>
        <v>13.6875</v>
      </c>
      <c r="N28" s="7">
        <f t="shared" si="6"/>
        <v>24.637500000000003</v>
      </c>
      <c r="O28" s="7">
        <f t="shared" si="7"/>
        <v>23.725000000000001</v>
      </c>
      <c r="P28" s="7">
        <f t="shared" si="8"/>
        <v>22.8125</v>
      </c>
      <c r="R28" s="7">
        <f t="shared" si="9"/>
        <v>49.275000000000006</v>
      </c>
      <c r="S28" s="7">
        <f t="shared" si="10"/>
        <v>47.45</v>
      </c>
      <c r="T28" s="7">
        <f t="shared" si="11"/>
        <v>45.625</v>
      </c>
    </row>
    <row r="29" spans="1:20" s="7" customFormat="1" x14ac:dyDescent="0.2">
      <c r="A29" s="7" t="s">
        <v>180</v>
      </c>
      <c r="C29" s="7" t="s">
        <v>31</v>
      </c>
      <c r="D29" s="7">
        <v>365</v>
      </c>
      <c r="E29" s="7">
        <v>100</v>
      </c>
      <c r="F29" s="8">
        <f t="shared" si="0"/>
        <v>14.782500000000001</v>
      </c>
      <c r="G29" s="8">
        <f t="shared" si="1"/>
        <v>23.725000000000001</v>
      </c>
      <c r="H29" s="8">
        <f t="shared" si="2"/>
        <v>45.625</v>
      </c>
      <c r="J29" s="7">
        <f t="shared" si="3"/>
        <v>14.782500000000001</v>
      </c>
      <c r="K29" s="7">
        <f t="shared" si="4"/>
        <v>14.234999999999999</v>
      </c>
      <c r="L29" s="7">
        <f t="shared" si="5"/>
        <v>13.6875</v>
      </c>
      <c r="N29" s="7">
        <f t="shared" si="6"/>
        <v>24.637500000000003</v>
      </c>
      <c r="O29" s="7">
        <f t="shared" si="7"/>
        <v>23.725000000000001</v>
      </c>
      <c r="P29" s="7">
        <f t="shared" si="8"/>
        <v>22.8125</v>
      </c>
      <c r="R29" s="7">
        <f t="shared" si="9"/>
        <v>49.275000000000006</v>
      </c>
      <c r="S29" s="7">
        <f t="shared" si="10"/>
        <v>47.45</v>
      </c>
      <c r="T29" s="7">
        <f t="shared" si="11"/>
        <v>45.625</v>
      </c>
    </row>
    <row r="30" spans="1:20" s="7" customFormat="1" x14ac:dyDescent="0.2">
      <c r="A30" s="7" t="s">
        <v>175</v>
      </c>
      <c r="C30" s="7" t="s">
        <v>32</v>
      </c>
      <c r="D30" s="7">
        <v>365</v>
      </c>
      <c r="E30" s="7">
        <v>100</v>
      </c>
      <c r="F30" s="8">
        <f t="shared" si="0"/>
        <v>14.782500000000001</v>
      </c>
      <c r="G30" s="8">
        <f t="shared" si="1"/>
        <v>23.725000000000001</v>
      </c>
      <c r="H30" s="8">
        <f t="shared" si="2"/>
        <v>45.625</v>
      </c>
      <c r="J30" s="7">
        <f t="shared" si="3"/>
        <v>14.782500000000001</v>
      </c>
      <c r="K30" s="7">
        <f t="shared" si="4"/>
        <v>14.234999999999999</v>
      </c>
      <c r="L30" s="7">
        <f t="shared" si="5"/>
        <v>13.6875</v>
      </c>
      <c r="N30" s="7">
        <f t="shared" si="6"/>
        <v>24.637500000000003</v>
      </c>
      <c r="O30" s="7">
        <f t="shared" si="7"/>
        <v>23.725000000000001</v>
      </c>
      <c r="P30" s="7">
        <f t="shared" si="8"/>
        <v>22.8125</v>
      </c>
      <c r="R30" s="7">
        <f t="shared" si="9"/>
        <v>49.275000000000006</v>
      </c>
      <c r="S30" s="7">
        <f t="shared" si="10"/>
        <v>47.45</v>
      </c>
      <c r="T30" s="7">
        <f t="shared" si="11"/>
        <v>45.625</v>
      </c>
    </row>
    <row r="31" spans="1:20" s="7" customFormat="1" x14ac:dyDescent="0.2">
      <c r="A31" s="7" t="s">
        <v>181</v>
      </c>
      <c r="C31" s="7" t="s">
        <v>33</v>
      </c>
      <c r="D31" s="7">
        <v>245</v>
      </c>
      <c r="E31" s="7">
        <v>100</v>
      </c>
      <c r="F31" s="8">
        <f t="shared" si="0"/>
        <v>9.9225000000000012</v>
      </c>
      <c r="G31" s="8">
        <f t="shared" si="1"/>
        <v>15.925000000000002</v>
      </c>
      <c r="H31" s="8">
        <f t="shared" si="2"/>
        <v>30.625</v>
      </c>
      <c r="J31" s="7">
        <f t="shared" si="3"/>
        <v>9.9225000000000012</v>
      </c>
      <c r="K31" s="7">
        <f t="shared" si="4"/>
        <v>9.5550000000000015</v>
      </c>
      <c r="L31" s="7">
        <f t="shared" si="5"/>
        <v>9.1875</v>
      </c>
      <c r="N31" s="7">
        <f t="shared" si="6"/>
        <v>16.537500000000001</v>
      </c>
      <c r="O31" s="7">
        <f t="shared" si="7"/>
        <v>15.925000000000002</v>
      </c>
      <c r="P31" s="7">
        <f t="shared" si="8"/>
        <v>15.3125</v>
      </c>
      <c r="R31" s="7">
        <f t="shared" si="9"/>
        <v>33.075000000000003</v>
      </c>
      <c r="S31" s="7">
        <f t="shared" si="10"/>
        <v>31.850000000000005</v>
      </c>
      <c r="T31" s="7">
        <f t="shared" si="11"/>
        <v>30.625</v>
      </c>
    </row>
    <row r="32" spans="1:20" s="7" customFormat="1" x14ac:dyDescent="0.2">
      <c r="A32" s="7" t="s">
        <v>175</v>
      </c>
      <c r="C32" s="7" t="s">
        <v>34</v>
      </c>
      <c r="D32" s="7">
        <v>255</v>
      </c>
      <c r="E32" s="7">
        <v>50</v>
      </c>
      <c r="F32" s="8">
        <f t="shared" si="0"/>
        <v>20.655000000000001</v>
      </c>
      <c r="G32" s="8">
        <f t="shared" si="1"/>
        <v>33.15</v>
      </c>
      <c r="H32" s="8">
        <f t="shared" si="2"/>
        <v>63.75</v>
      </c>
      <c r="J32" s="7">
        <f t="shared" si="3"/>
        <v>20.655000000000001</v>
      </c>
      <c r="K32" s="7">
        <f t="shared" si="4"/>
        <v>19.89</v>
      </c>
      <c r="L32" s="7">
        <f t="shared" si="5"/>
        <v>19.125</v>
      </c>
      <c r="N32" s="7">
        <f t="shared" si="6"/>
        <v>34.424999999999997</v>
      </c>
      <c r="O32" s="7">
        <f t="shared" si="7"/>
        <v>33.15</v>
      </c>
      <c r="P32" s="7">
        <f t="shared" si="8"/>
        <v>31.875</v>
      </c>
      <c r="R32" s="7">
        <f t="shared" si="9"/>
        <v>68.849999999999994</v>
      </c>
      <c r="S32" s="7">
        <f t="shared" si="10"/>
        <v>66.3</v>
      </c>
      <c r="T32" s="7">
        <f t="shared" si="11"/>
        <v>63.75</v>
      </c>
    </row>
    <row r="33" spans="1:20" s="7" customFormat="1" x14ac:dyDescent="0.2">
      <c r="A33" s="7" t="s">
        <v>171</v>
      </c>
      <c r="C33" s="7" t="s">
        <v>35</v>
      </c>
      <c r="D33" s="7">
        <v>125</v>
      </c>
      <c r="E33" s="7">
        <v>100</v>
      </c>
      <c r="F33" s="8">
        <f t="shared" si="0"/>
        <v>5.0625</v>
      </c>
      <c r="G33" s="8">
        <f t="shared" si="1"/>
        <v>8.125</v>
      </c>
      <c r="H33" s="8">
        <f t="shared" si="2"/>
        <v>15.625</v>
      </c>
      <c r="J33" s="7">
        <f t="shared" si="3"/>
        <v>5.0625</v>
      </c>
      <c r="K33" s="7">
        <f t="shared" si="4"/>
        <v>4.875</v>
      </c>
      <c r="L33" s="7">
        <f t="shared" si="5"/>
        <v>4.6875</v>
      </c>
      <c r="N33" s="7">
        <f t="shared" si="6"/>
        <v>8.4375</v>
      </c>
      <c r="O33" s="7">
        <f t="shared" si="7"/>
        <v>8.125</v>
      </c>
      <c r="P33" s="7">
        <f t="shared" si="8"/>
        <v>7.8125</v>
      </c>
      <c r="R33" s="7">
        <f t="shared" si="9"/>
        <v>16.875</v>
      </c>
      <c r="S33" s="7">
        <f t="shared" si="10"/>
        <v>16.25</v>
      </c>
      <c r="T33" s="7">
        <f t="shared" si="11"/>
        <v>15.625</v>
      </c>
    </row>
    <row r="34" spans="1:20" s="7" customFormat="1" x14ac:dyDescent="0.2">
      <c r="A34" s="7" t="s">
        <v>171</v>
      </c>
      <c r="C34" s="7" t="s">
        <v>36</v>
      </c>
      <c r="D34" s="7">
        <v>145</v>
      </c>
      <c r="E34" s="7">
        <v>50</v>
      </c>
      <c r="F34" s="8">
        <f t="shared" si="0"/>
        <v>11.745000000000001</v>
      </c>
      <c r="G34" s="8">
        <f t="shared" si="1"/>
        <v>18.850000000000001</v>
      </c>
      <c r="H34" s="8">
        <f t="shared" si="2"/>
        <v>36.25</v>
      </c>
      <c r="J34" s="7">
        <f t="shared" si="3"/>
        <v>11.745000000000001</v>
      </c>
      <c r="K34" s="7">
        <f t="shared" si="4"/>
        <v>11.31</v>
      </c>
      <c r="L34" s="7">
        <f t="shared" si="5"/>
        <v>10.875</v>
      </c>
      <c r="N34" s="7">
        <f t="shared" si="6"/>
        <v>19.574999999999999</v>
      </c>
      <c r="O34" s="7">
        <f t="shared" si="7"/>
        <v>18.850000000000001</v>
      </c>
      <c r="P34" s="7">
        <f t="shared" si="8"/>
        <v>18.125</v>
      </c>
      <c r="R34" s="7">
        <f t="shared" si="9"/>
        <v>39.15</v>
      </c>
      <c r="S34" s="7">
        <f t="shared" si="10"/>
        <v>37.700000000000003</v>
      </c>
      <c r="T34" s="7">
        <f t="shared" si="11"/>
        <v>36.25</v>
      </c>
    </row>
    <row r="35" spans="1:20" s="9" customFormat="1" x14ac:dyDescent="0.2">
      <c r="A35" s="9" t="s">
        <v>168</v>
      </c>
      <c r="C35" s="9" t="s">
        <v>37</v>
      </c>
      <c r="D35" s="9">
        <v>570</v>
      </c>
      <c r="E35" s="9">
        <v>50</v>
      </c>
      <c r="F35" s="10">
        <f t="shared" si="0"/>
        <v>46.170000000000009</v>
      </c>
      <c r="G35" s="10">
        <f t="shared" si="1"/>
        <v>74.099999999999994</v>
      </c>
      <c r="H35" s="10">
        <f t="shared" si="2"/>
        <v>142.5</v>
      </c>
      <c r="J35" s="9">
        <f t="shared" si="3"/>
        <v>46.170000000000009</v>
      </c>
      <c r="K35" s="9">
        <f t="shared" si="4"/>
        <v>44.46</v>
      </c>
      <c r="L35" s="9">
        <f t="shared" si="5"/>
        <v>42.75</v>
      </c>
      <c r="N35" s="9">
        <f t="shared" si="6"/>
        <v>76.950000000000017</v>
      </c>
      <c r="O35" s="9">
        <f t="shared" si="7"/>
        <v>74.099999999999994</v>
      </c>
      <c r="P35" s="9">
        <f t="shared" si="8"/>
        <v>71.25</v>
      </c>
      <c r="R35" s="9">
        <f t="shared" si="9"/>
        <v>153.90000000000003</v>
      </c>
      <c r="S35" s="9">
        <f t="shared" si="10"/>
        <v>148.19999999999999</v>
      </c>
      <c r="T35" s="9">
        <f t="shared" si="11"/>
        <v>142.5</v>
      </c>
    </row>
    <row r="36" spans="1:20" s="7" customFormat="1" x14ac:dyDescent="0.2">
      <c r="A36" s="7" t="s">
        <v>168</v>
      </c>
      <c r="C36" s="7" t="s">
        <v>38</v>
      </c>
      <c r="D36" s="7">
        <v>350</v>
      </c>
      <c r="E36" s="7">
        <v>100</v>
      </c>
      <c r="F36" s="8">
        <f t="shared" si="0"/>
        <v>14.175000000000001</v>
      </c>
      <c r="G36" s="8">
        <f t="shared" si="1"/>
        <v>22.75</v>
      </c>
      <c r="H36" s="8">
        <f t="shared" si="2"/>
        <v>43.75</v>
      </c>
      <c r="J36" s="7">
        <f t="shared" si="3"/>
        <v>14.175000000000001</v>
      </c>
      <c r="K36" s="7">
        <f t="shared" si="4"/>
        <v>13.649999999999999</v>
      </c>
      <c r="L36" s="7">
        <f t="shared" si="5"/>
        <v>13.125</v>
      </c>
      <c r="N36" s="7">
        <f t="shared" si="6"/>
        <v>23.625000000000004</v>
      </c>
      <c r="O36" s="7">
        <f t="shared" si="7"/>
        <v>22.75</v>
      </c>
      <c r="P36" s="7">
        <f t="shared" si="8"/>
        <v>21.875</v>
      </c>
      <c r="R36" s="7">
        <f t="shared" si="9"/>
        <v>47.250000000000007</v>
      </c>
      <c r="S36" s="7">
        <f t="shared" si="10"/>
        <v>45.5</v>
      </c>
      <c r="T36" s="7">
        <f t="shared" si="11"/>
        <v>43.75</v>
      </c>
    </row>
    <row r="37" spans="1:20" s="7" customFormat="1" x14ac:dyDescent="0.2">
      <c r="A37" s="7" t="s">
        <v>175</v>
      </c>
      <c r="C37" s="7" t="s">
        <v>39</v>
      </c>
      <c r="D37" s="7">
        <v>310</v>
      </c>
      <c r="E37" s="7">
        <v>100</v>
      </c>
      <c r="F37" s="8">
        <f t="shared" si="0"/>
        <v>12.555000000000001</v>
      </c>
      <c r="G37" s="8">
        <f t="shared" si="1"/>
        <v>20.150000000000002</v>
      </c>
      <c r="H37" s="8">
        <f t="shared" si="2"/>
        <v>38.75</v>
      </c>
      <c r="J37" s="7">
        <f t="shared" si="3"/>
        <v>12.555000000000001</v>
      </c>
      <c r="K37" s="7">
        <f t="shared" si="4"/>
        <v>12.09</v>
      </c>
      <c r="L37" s="7">
        <f t="shared" si="5"/>
        <v>11.625</v>
      </c>
      <c r="N37" s="7">
        <f t="shared" si="6"/>
        <v>20.925000000000004</v>
      </c>
      <c r="O37" s="7">
        <f t="shared" si="7"/>
        <v>20.150000000000002</v>
      </c>
      <c r="P37" s="7">
        <f t="shared" si="8"/>
        <v>19.375</v>
      </c>
      <c r="R37" s="7">
        <f t="shared" si="9"/>
        <v>41.850000000000009</v>
      </c>
      <c r="S37" s="7">
        <f t="shared" si="10"/>
        <v>40.300000000000004</v>
      </c>
      <c r="T37" s="7">
        <f t="shared" si="11"/>
        <v>38.75</v>
      </c>
    </row>
    <row r="38" spans="1:20" s="7" customFormat="1" x14ac:dyDescent="0.2">
      <c r="A38" s="7" t="s">
        <v>171</v>
      </c>
      <c r="C38" s="7" t="s">
        <v>40</v>
      </c>
      <c r="D38" s="7">
        <v>200</v>
      </c>
      <c r="E38" s="7">
        <v>50</v>
      </c>
      <c r="F38" s="8">
        <f t="shared" si="0"/>
        <v>16.200000000000003</v>
      </c>
      <c r="G38" s="8">
        <f t="shared" si="1"/>
        <v>26</v>
      </c>
      <c r="H38" s="8">
        <f t="shared" si="2"/>
        <v>50</v>
      </c>
      <c r="J38" s="7">
        <f t="shared" si="3"/>
        <v>16.200000000000003</v>
      </c>
      <c r="K38" s="7">
        <f t="shared" si="4"/>
        <v>15.600000000000001</v>
      </c>
      <c r="L38" s="7">
        <f t="shared" si="5"/>
        <v>15</v>
      </c>
      <c r="N38" s="7">
        <f t="shared" si="6"/>
        <v>27</v>
      </c>
      <c r="O38" s="7">
        <f t="shared" si="7"/>
        <v>26</v>
      </c>
      <c r="P38" s="7">
        <f t="shared" si="8"/>
        <v>25</v>
      </c>
      <c r="R38" s="7">
        <f t="shared" si="9"/>
        <v>54</v>
      </c>
      <c r="S38" s="7">
        <f t="shared" si="10"/>
        <v>52</v>
      </c>
      <c r="T38" s="7">
        <f t="shared" si="11"/>
        <v>50</v>
      </c>
    </row>
    <row r="39" spans="1:20" s="7" customFormat="1" x14ac:dyDescent="0.2">
      <c r="A39" s="7" t="s">
        <v>171</v>
      </c>
      <c r="C39" s="7" t="s">
        <v>41</v>
      </c>
      <c r="D39" s="7">
        <v>118</v>
      </c>
      <c r="E39" s="7">
        <v>30</v>
      </c>
      <c r="F39" s="8">
        <f t="shared" si="0"/>
        <v>15.930000000000001</v>
      </c>
      <c r="G39" s="8">
        <f t="shared" si="1"/>
        <v>25.566666666666666</v>
      </c>
      <c r="H39" s="8">
        <f t="shared" si="2"/>
        <v>49.166666666666657</v>
      </c>
      <c r="J39" s="7">
        <f t="shared" si="3"/>
        <v>15.930000000000001</v>
      </c>
      <c r="K39" s="7">
        <f t="shared" si="4"/>
        <v>15.34</v>
      </c>
      <c r="L39" s="7">
        <f t="shared" si="5"/>
        <v>14.749999999999998</v>
      </c>
      <c r="N39" s="7">
        <f t="shared" si="6"/>
        <v>26.550000000000004</v>
      </c>
      <c r="O39" s="7">
        <f t="shared" si="7"/>
        <v>25.566666666666666</v>
      </c>
      <c r="P39" s="7">
        <f t="shared" si="8"/>
        <v>24.583333333333329</v>
      </c>
      <c r="R39" s="7">
        <f t="shared" si="9"/>
        <v>53.100000000000009</v>
      </c>
      <c r="S39" s="7">
        <f t="shared" si="10"/>
        <v>51.133333333333333</v>
      </c>
      <c r="T39" s="7">
        <f t="shared" si="11"/>
        <v>49.166666666666657</v>
      </c>
    </row>
    <row r="40" spans="1:20" s="7" customFormat="1" x14ac:dyDescent="0.2">
      <c r="A40" s="7" t="s">
        <v>182</v>
      </c>
      <c r="C40" s="7" t="s">
        <v>42</v>
      </c>
      <c r="D40" s="7">
        <v>118</v>
      </c>
      <c r="E40" s="7">
        <v>30</v>
      </c>
      <c r="F40" s="8">
        <f t="shared" si="0"/>
        <v>15.930000000000001</v>
      </c>
      <c r="G40" s="8">
        <f t="shared" si="1"/>
        <v>25.566666666666666</v>
      </c>
      <c r="H40" s="8">
        <f t="shared" si="2"/>
        <v>49.166666666666657</v>
      </c>
      <c r="J40" s="7">
        <f t="shared" si="3"/>
        <v>15.930000000000001</v>
      </c>
      <c r="K40" s="7">
        <f t="shared" si="4"/>
        <v>15.34</v>
      </c>
      <c r="L40" s="7">
        <f t="shared" si="5"/>
        <v>14.749999999999998</v>
      </c>
      <c r="N40" s="7">
        <f t="shared" si="6"/>
        <v>26.550000000000004</v>
      </c>
      <c r="O40" s="7">
        <f t="shared" si="7"/>
        <v>25.566666666666666</v>
      </c>
      <c r="P40" s="7">
        <f t="shared" si="8"/>
        <v>24.583333333333329</v>
      </c>
      <c r="R40" s="7">
        <f t="shared" si="9"/>
        <v>53.100000000000009</v>
      </c>
      <c r="S40" s="7">
        <f t="shared" si="10"/>
        <v>51.133333333333333</v>
      </c>
      <c r="T40" s="7">
        <f t="shared" si="11"/>
        <v>49.166666666666657</v>
      </c>
    </row>
    <row r="41" spans="1:20" s="7" customFormat="1" x14ac:dyDescent="0.2">
      <c r="A41" s="7" t="s">
        <v>173</v>
      </c>
      <c r="C41" s="7" t="s">
        <v>43</v>
      </c>
      <c r="D41" s="7">
        <v>118</v>
      </c>
      <c r="E41" s="7">
        <v>30</v>
      </c>
      <c r="F41" s="8">
        <f t="shared" si="0"/>
        <v>15.930000000000001</v>
      </c>
      <c r="G41" s="8">
        <f t="shared" si="1"/>
        <v>25.566666666666666</v>
      </c>
      <c r="H41" s="8">
        <f t="shared" si="2"/>
        <v>49.166666666666657</v>
      </c>
      <c r="J41" s="7">
        <f t="shared" si="3"/>
        <v>15.930000000000001</v>
      </c>
      <c r="K41" s="7">
        <f t="shared" si="4"/>
        <v>15.34</v>
      </c>
      <c r="L41" s="7">
        <f t="shared" si="5"/>
        <v>14.749999999999998</v>
      </c>
      <c r="N41" s="7">
        <f t="shared" si="6"/>
        <v>26.550000000000004</v>
      </c>
      <c r="O41" s="7">
        <f t="shared" si="7"/>
        <v>25.566666666666666</v>
      </c>
      <c r="P41" s="7">
        <f t="shared" si="8"/>
        <v>24.583333333333329</v>
      </c>
      <c r="R41" s="7">
        <f t="shared" si="9"/>
        <v>53.100000000000009</v>
      </c>
      <c r="S41" s="7">
        <f t="shared" si="10"/>
        <v>51.133333333333333</v>
      </c>
      <c r="T41" s="7">
        <f t="shared" si="11"/>
        <v>49.166666666666657</v>
      </c>
    </row>
    <row r="42" spans="1:20" s="7" customFormat="1" x14ac:dyDescent="0.2">
      <c r="A42" s="7" t="s">
        <v>183</v>
      </c>
      <c r="C42" s="7" t="s">
        <v>44</v>
      </c>
      <c r="D42" s="7">
        <v>118</v>
      </c>
      <c r="E42" s="7">
        <v>30</v>
      </c>
      <c r="F42" s="8">
        <f t="shared" si="0"/>
        <v>15.930000000000001</v>
      </c>
      <c r="G42" s="8">
        <f t="shared" si="1"/>
        <v>25.566666666666666</v>
      </c>
      <c r="H42" s="8">
        <f t="shared" si="2"/>
        <v>49.166666666666657</v>
      </c>
      <c r="J42" s="7">
        <f t="shared" si="3"/>
        <v>15.930000000000001</v>
      </c>
      <c r="K42" s="7">
        <f t="shared" si="4"/>
        <v>15.34</v>
      </c>
      <c r="L42" s="7">
        <f t="shared" si="5"/>
        <v>14.749999999999998</v>
      </c>
      <c r="N42" s="7">
        <f t="shared" si="6"/>
        <v>26.550000000000004</v>
      </c>
      <c r="O42" s="7">
        <f t="shared" si="7"/>
        <v>25.566666666666666</v>
      </c>
      <c r="P42" s="7">
        <f t="shared" si="8"/>
        <v>24.583333333333329</v>
      </c>
      <c r="R42" s="7">
        <f t="shared" si="9"/>
        <v>53.100000000000009</v>
      </c>
      <c r="S42" s="7">
        <f t="shared" si="10"/>
        <v>51.133333333333333</v>
      </c>
      <c r="T42" s="7">
        <f t="shared" si="11"/>
        <v>49.166666666666657</v>
      </c>
    </row>
    <row r="43" spans="1:20" s="7" customFormat="1" x14ac:dyDescent="0.2">
      <c r="A43" s="7" t="s">
        <v>169</v>
      </c>
      <c r="C43" s="7" t="s">
        <v>45</v>
      </c>
      <c r="D43" s="7">
        <v>225</v>
      </c>
      <c r="E43" s="7">
        <v>100</v>
      </c>
      <c r="F43" s="8">
        <f t="shared" si="0"/>
        <v>9.1125000000000007</v>
      </c>
      <c r="G43" s="8">
        <f t="shared" si="1"/>
        <v>14.625000000000002</v>
      </c>
      <c r="H43" s="8">
        <f t="shared" si="2"/>
        <v>28.125</v>
      </c>
      <c r="J43" s="7">
        <f t="shared" si="3"/>
        <v>9.1125000000000007</v>
      </c>
      <c r="K43" s="7">
        <f t="shared" si="4"/>
        <v>8.7750000000000004</v>
      </c>
      <c r="L43" s="7">
        <f t="shared" si="5"/>
        <v>8.4375</v>
      </c>
      <c r="N43" s="7">
        <f t="shared" si="6"/>
        <v>15.1875</v>
      </c>
      <c r="O43" s="7">
        <f t="shared" si="7"/>
        <v>14.625000000000002</v>
      </c>
      <c r="P43" s="7">
        <f t="shared" si="8"/>
        <v>14.0625</v>
      </c>
      <c r="R43" s="7">
        <f t="shared" si="9"/>
        <v>30.375</v>
      </c>
      <c r="S43" s="7">
        <f t="shared" si="10"/>
        <v>29.250000000000004</v>
      </c>
      <c r="T43" s="7">
        <f t="shared" si="11"/>
        <v>28.125</v>
      </c>
    </row>
    <row r="44" spans="1:20" s="7" customFormat="1" x14ac:dyDescent="0.2">
      <c r="A44" s="7" t="s">
        <v>171</v>
      </c>
      <c r="C44" s="7" t="s">
        <v>46</v>
      </c>
      <c r="D44" s="7">
        <v>160</v>
      </c>
      <c r="E44" s="7">
        <v>100</v>
      </c>
      <c r="F44" s="8">
        <f t="shared" si="0"/>
        <v>6.48</v>
      </c>
      <c r="G44" s="8">
        <f t="shared" si="1"/>
        <v>10.4</v>
      </c>
      <c r="H44" s="8">
        <f t="shared" si="2"/>
        <v>20</v>
      </c>
      <c r="J44" s="7">
        <f t="shared" si="3"/>
        <v>6.48</v>
      </c>
      <c r="K44" s="7">
        <f t="shared" si="4"/>
        <v>6.24</v>
      </c>
      <c r="L44" s="7">
        <f t="shared" si="5"/>
        <v>6</v>
      </c>
      <c r="N44" s="7">
        <f t="shared" si="6"/>
        <v>10.8</v>
      </c>
      <c r="O44" s="7">
        <f t="shared" si="7"/>
        <v>10.4</v>
      </c>
      <c r="P44" s="7">
        <f t="shared" si="8"/>
        <v>10</v>
      </c>
      <c r="R44" s="7">
        <f t="shared" si="9"/>
        <v>21.6</v>
      </c>
      <c r="S44" s="7">
        <f t="shared" si="10"/>
        <v>20.8</v>
      </c>
      <c r="T44" s="7">
        <f t="shared" si="11"/>
        <v>20</v>
      </c>
    </row>
    <row r="45" spans="1:20" s="7" customFormat="1" x14ac:dyDescent="0.2">
      <c r="A45" s="7" t="s">
        <v>169</v>
      </c>
      <c r="C45" s="7" t="s">
        <v>47</v>
      </c>
      <c r="D45" s="7">
        <v>270</v>
      </c>
      <c r="E45" s="7">
        <v>100</v>
      </c>
      <c r="F45" s="8">
        <f t="shared" si="0"/>
        <v>10.935000000000002</v>
      </c>
      <c r="G45" s="8">
        <f t="shared" si="1"/>
        <v>17.55</v>
      </c>
      <c r="H45" s="8">
        <f t="shared" si="2"/>
        <v>33.75</v>
      </c>
      <c r="J45" s="7">
        <f t="shared" si="3"/>
        <v>10.935000000000002</v>
      </c>
      <c r="K45" s="7">
        <f t="shared" si="4"/>
        <v>10.530000000000001</v>
      </c>
      <c r="L45" s="7">
        <f t="shared" si="5"/>
        <v>10.125</v>
      </c>
      <c r="N45" s="7">
        <f t="shared" si="6"/>
        <v>18.225000000000001</v>
      </c>
      <c r="O45" s="7">
        <f t="shared" si="7"/>
        <v>17.55</v>
      </c>
      <c r="P45" s="7">
        <f t="shared" si="8"/>
        <v>16.875</v>
      </c>
      <c r="R45" s="7">
        <f t="shared" si="9"/>
        <v>36.450000000000003</v>
      </c>
      <c r="S45" s="7">
        <f t="shared" si="10"/>
        <v>35.1</v>
      </c>
      <c r="T45" s="7">
        <f t="shared" si="11"/>
        <v>33.75</v>
      </c>
    </row>
    <row r="46" spans="1:20" s="7" customFormat="1" x14ac:dyDescent="0.2">
      <c r="A46" s="7" t="s">
        <v>175</v>
      </c>
      <c r="C46" s="7" t="s">
        <v>48</v>
      </c>
      <c r="D46" s="7">
        <v>185</v>
      </c>
      <c r="E46" s="7">
        <v>100</v>
      </c>
      <c r="F46" s="8">
        <f t="shared" si="0"/>
        <v>7.4925000000000015</v>
      </c>
      <c r="G46" s="8">
        <f t="shared" si="1"/>
        <v>12.025000000000002</v>
      </c>
      <c r="H46" s="8">
        <f t="shared" si="2"/>
        <v>23.125</v>
      </c>
      <c r="J46" s="7">
        <f t="shared" si="3"/>
        <v>7.4925000000000015</v>
      </c>
      <c r="K46" s="7">
        <f t="shared" si="4"/>
        <v>7.2150000000000007</v>
      </c>
      <c r="L46" s="7">
        <f t="shared" si="5"/>
        <v>6.9375</v>
      </c>
      <c r="N46" s="7">
        <f t="shared" si="6"/>
        <v>12.487500000000002</v>
      </c>
      <c r="O46" s="7">
        <f t="shared" si="7"/>
        <v>12.025000000000002</v>
      </c>
      <c r="P46" s="7">
        <f t="shared" si="8"/>
        <v>11.5625</v>
      </c>
      <c r="R46" s="7">
        <f t="shared" si="9"/>
        <v>24.975000000000005</v>
      </c>
      <c r="S46" s="7">
        <f t="shared" si="10"/>
        <v>24.050000000000004</v>
      </c>
      <c r="T46" s="7">
        <f t="shared" si="11"/>
        <v>23.125</v>
      </c>
    </row>
    <row r="47" spans="1:20" s="7" customFormat="1" x14ac:dyDescent="0.2">
      <c r="A47" s="7" t="s">
        <v>184</v>
      </c>
      <c r="C47" s="7" t="s">
        <v>49</v>
      </c>
      <c r="D47" s="7">
        <v>230</v>
      </c>
      <c r="E47" s="7">
        <v>100</v>
      </c>
      <c r="F47" s="8">
        <f t="shared" si="0"/>
        <v>9.3149999999999995</v>
      </c>
      <c r="G47" s="8">
        <f t="shared" si="1"/>
        <v>14.95</v>
      </c>
      <c r="H47" s="8">
        <f t="shared" si="2"/>
        <v>28.75</v>
      </c>
      <c r="J47" s="7">
        <f t="shared" si="3"/>
        <v>9.3149999999999995</v>
      </c>
      <c r="K47" s="7">
        <f t="shared" si="4"/>
        <v>8.9699999999999989</v>
      </c>
      <c r="L47" s="7">
        <f t="shared" si="5"/>
        <v>8.625</v>
      </c>
      <c r="N47" s="7">
        <f t="shared" si="6"/>
        <v>15.525</v>
      </c>
      <c r="O47" s="7">
        <f t="shared" si="7"/>
        <v>14.95</v>
      </c>
      <c r="P47" s="7">
        <f t="shared" si="8"/>
        <v>14.375</v>
      </c>
      <c r="R47" s="7">
        <f t="shared" si="9"/>
        <v>31.05</v>
      </c>
      <c r="S47" s="7">
        <f t="shared" si="10"/>
        <v>29.9</v>
      </c>
      <c r="T47" s="7">
        <f t="shared" si="11"/>
        <v>28.75</v>
      </c>
    </row>
    <row r="48" spans="1:20" s="7" customFormat="1" x14ac:dyDescent="0.2">
      <c r="A48" s="7" t="s">
        <v>185</v>
      </c>
      <c r="C48" s="7" t="s">
        <v>50</v>
      </c>
      <c r="D48" s="7">
        <v>88</v>
      </c>
      <c r="E48" s="7">
        <v>100</v>
      </c>
      <c r="F48" s="8">
        <f t="shared" si="0"/>
        <v>3.5640000000000005</v>
      </c>
      <c r="G48" s="8">
        <f t="shared" si="1"/>
        <v>5.7200000000000006</v>
      </c>
      <c r="H48" s="8">
        <f t="shared" si="2"/>
        <v>11</v>
      </c>
      <c r="J48" s="7">
        <f t="shared" si="3"/>
        <v>3.5640000000000005</v>
      </c>
      <c r="K48" s="7">
        <f t="shared" si="4"/>
        <v>3.4320000000000004</v>
      </c>
      <c r="L48" s="7">
        <f t="shared" si="5"/>
        <v>3.3000000000000003</v>
      </c>
      <c r="N48" s="7">
        <f t="shared" si="6"/>
        <v>5.9400000000000013</v>
      </c>
      <c r="O48" s="7">
        <f t="shared" si="7"/>
        <v>5.7200000000000006</v>
      </c>
      <c r="P48" s="7">
        <f t="shared" si="8"/>
        <v>5.5</v>
      </c>
      <c r="R48" s="7">
        <f t="shared" si="9"/>
        <v>11.880000000000003</v>
      </c>
      <c r="S48" s="7">
        <f t="shared" si="10"/>
        <v>11.440000000000001</v>
      </c>
      <c r="T48" s="7">
        <f t="shared" si="11"/>
        <v>11</v>
      </c>
    </row>
    <row r="49" spans="1:20" s="7" customFormat="1" x14ac:dyDescent="0.2">
      <c r="A49" s="7" t="s">
        <v>186</v>
      </c>
      <c r="C49" s="7" t="s">
        <v>51</v>
      </c>
      <c r="D49" s="7">
        <v>135</v>
      </c>
      <c r="E49" s="7">
        <v>50</v>
      </c>
      <c r="F49" s="8">
        <f t="shared" si="0"/>
        <v>10.935000000000002</v>
      </c>
      <c r="G49" s="8">
        <f t="shared" si="1"/>
        <v>17.55</v>
      </c>
      <c r="H49" s="8">
        <f t="shared" si="2"/>
        <v>33.75</v>
      </c>
      <c r="J49" s="7">
        <f t="shared" si="3"/>
        <v>10.935000000000002</v>
      </c>
      <c r="K49" s="7">
        <f t="shared" si="4"/>
        <v>10.530000000000001</v>
      </c>
      <c r="L49" s="7">
        <f t="shared" si="5"/>
        <v>10.125</v>
      </c>
      <c r="N49" s="7">
        <f t="shared" si="6"/>
        <v>18.225000000000001</v>
      </c>
      <c r="O49" s="7">
        <f t="shared" si="7"/>
        <v>17.55</v>
      </c>
      <c r="P49" s="7">
        <f t="shared" si="8"/>
        <v>16.875</v>
      </c>
      <c r="R49" s="7">
        <f t="shared" si="9"/>
        <v>36.450000000000003</v>
      </c>
      <c r="S49" s="7">
        <f t="shared" si="10"/>
        <v>35.1</v>
      </c>
      <c r="T49" s="7">
        <f t="shared" si="11"/>
        <v>33.75</v>
      </c>
    </row>
    <row r="50" spans="1:20" s="7" customFormat="1" x14ac:dyDescent="0.2">
      <c r="A50" s="7" t="s">
        <v>187</v>
      </c>
      <c r="C50" s="7" t="s">
        <v>52</v>
      </c>
      <c r="D50" s="7">
        <v>145</v>
      </c>
      <c r="E50" s="7">
        <v>50</v>
      </c>
      <c r="F50" s="8">
        <f t="shared" si="0"/>
        <v>11.745000000000001</v>
      </c>
      <c r="G50" s="8">
        <f t="shared" si="1"/>
        <v>18.850000000000001</v>
      </c>
      <c r="H50" s="8">
        <f t="shared" si="2"/>
        <v>36.25</v>
      </c>
      <c r="J50" s="7">
        <f t="shared" si="3"/>
        <v>11.745000000000001</v>
      </c>
      <c r="K50" s="7">
        <f t="shared" si="4"/>
        <v>11.31</v>
      </c>
      <c r="L50" s="7">
        <f t="shared" si="5"/>
        <v>10.875</v>
      </c>
      <c r="N50" s="7">
        <f t="shared" si="6"/>
        <v>19.574999999999999</v>
      </c>
      <c r="O50" s="7">
        <f t="shared" si="7"/>
        <v>18.850000000000001</v>
      </c>
      <c r="P50" s="7">
        <f t="shared" si="8"/>
        <v>18.125</v>
      </c>
      <c r="R50" s="7">
        <f t="shared" si="9"/>
        <v>39.15</v>
      </c>
      <c r="S50" s="7">
        <f t="shared" si="10"/>
        <v>37.700000000000003</v>
      </c>
      <c r="T50" s="7">
        <f t="shared" si="11"/>
        <v>36.25</v>
      </c>
    </row>
    <row r="51" spans="1:20" s="7" customFormat="1" x14ac:dyDescent="0.2">
      <c r="A51" s="7" t="s">
        <v>188</v>
      </c>
      <c r="C51" s="7" t="s">
        <v>53</v>
      </c>
      <c r="D51" s="7">
        <v>280</v>
      </c>
      <c r="E51" s="7">
        <v>100</v>
      </c>
      <c r="F51" s="8">
        <f t="shared" si="0"/>
        <v>11.34</v>
      </c>
      <c r="G51" s="8">
        <f t="shared" si="1"/>
        <v>18.2</v>
      </c>
      <c r="H51" s="8">
        <f t="shared" si="2"/>
        <v>35</v>
      </c>
      <c r="J51" s="7">
        <f t="shared" si="3"/>
        <v>11.34</v>
      </c>
      <c r="K51" s="7">
        <f t="shared" si="4"/>
        <v>10.919999999999998</v>
      </c>
      <c r="L51" s="7">
        <f t="shared" si="5"/>
        <v>10.5</v>
      </c>
      <c r="N51" s="7">
        <f t="shared" si="6"/>
        <v>18.899999999999999</v>
      </c>
      <c r="O51" s="7">
        <f t="shared" si="7"/>
        <v>18.2</v>
      </c>
      <c r="P51" s="7">
        <f t="shared" si="8"/>
        <v>17.5</v>
      </c>
      <c r="R51" s="7">
        <f t="shared" si="9"/>
        <v>37.799999999999997</v>
      </c>
      <c r="S51" s="7">
        <f t="shared" si="10"/>
        <v>36.4</v>
      </c>
      <c r="T51" s="7">
        <f t="shared" si="11"/>
        <v>35</v>
      </c>
    </row>
    <row r="52" spans="1:20" s="7" customFormat="1" x14ac:dyDescent="0.2">
      <c r="A52" s="7" t="s">
        <v>189</v>
      </c>
      <c r="C52" s="7" t="s">
        <v>54</v>
      </c>
      <c r="D52" s="7">
        <v>280</v>
      </c>
      <c r="E52" s="7">
        <v>100</v>
      </c>
      <c r="F52" s="8">
        <f t="shared" si="0"/>
        <v>11.34</v>
      </c>
      <c r="G52" s="8">
        <f t="shared" si="1"/>
        <v>18.2</v>
      </c>
      <c r="H52" s="8">
        <f t="shared" si="2"/>
        <v>35</v>
      </c>
      <c r="J52" s="7">
        <f t="shared" si="3"/>
        <v>11.34</v>
      </c>
      <c r="K52" s="7">
        <f t="shared" si="4"/>
        <v>10.919999999999998</v>
      </c>
      <c r="L52" s="7">
        <f t="shared" si="5"/>
        <v>10.5</v>
      </c>
      <c r="N52" s="7">
        <f t="shared" si="6"/>
        <v>18.899999999999999</v>
      </c>
      <c r="O52" s="7">
        <f t="shared" si="7"/>
        <v>18.2</v>
      </c>
      <c r="P52" s="7">
        <f t="shared" si="8"/>
        <v>17.5</v>
      </c>
      <c r="R52" s="7">
        <f t="shared" si="9"/>
        <v>37.799999999999997</v>
      </c>
      <c r="S52" s="7">
        <f t="shared" si="10"/>
        <v>36.4</v>
      </c>
      <c r="T52" s="7">
        <f t="shared" si="11"/>
        <v>35</v>
      </c>
    </row>
    <row r="53" spans="1:20" s="7" customFormat="1" x14ac:dyDescent="0.2">
      <c r="A53" s="7" t="s">
        <v>190</v>
      </c>
      <c r="C53" s="7" t="s">
        <v>55</v>
      </c>
      <c r="D53" s="7">
        <v>465</v>
      </c>
      <c r="E53" s="7">
        <v>50</v>
      </c>
      <c r="F53" s="8">
        <f t="shared" si="0"/>
        <v>37.665000000000006</v>
      </c>
      <c r="G53" s="8">
        <f t="shared" si="1"/>
        <v>60.45000000000001</v>
      </c>
      <c r="H53" s="8">
        <f t="shared" si="2"/>
        <v>116.25</v>
      </c>
      <c r="J53" s="7">
        <f t="shared" si="3"/>
        <v>37.665000000000006</v>
      </c>
      <c r="K53" s="7">
        <f t="shared" si="4"/>
        <v>36.270000000000003</v>
      </c>
      <c r="L53" s="7">
        <f t="shared" si="5"/>
        <v>34.875</v>
      </c>
      <c r="N53" s="7">
        <f t="shared" si="6"/>
        <v>62.775000000000006</v>
      </c>
      <c r="O53" s="7">
        <f t="shared" si="7"/>
        <v>60.45000000000001</v>
      </c>
      <c r="P53" s="7">
        <f t="shared" si="8"/>
        <v>58.125</v>
      </c>
      <c r="R53" s="7">
        <f t="shared" si="9"/>
        <v>125.55000000000001</v>
      </c>
      <c r="S53" s="7">
        <f t="shared" si="10"/>
        <v>120.90000000000002</v>
      </c>
      <c r="T53" s="7">
        <f t="shared" si="11"/>
        <v>116.25</v>
      </c>
    </row>
    <row r="54" spans="1:20" s="7" customFormat="1" x14ac:dyDescent="0.2">
      <c r="A54" s="7" t="s">
        <v>171</v>
      </c>
      <c r="C54" s="7" t="s">
        <v>56</v>
      </c>
      <c r="D54" s="7">
        <v>255</v>
      </c>
      <c r="E54" s="7">
        <v>50</v>
      </c>
      <c r="F54" s="8">
        <f t="shared" si="0"/>
        <v>20.655000000000001</v>
      </c>
      <c r="G54" s="8">
        <f t="shared" si="1"/>
        <v>33.15</v>
      </c>
      <c r="H54" s="8">
        <f t="shared" si="2"/>
        <v>63.75</v>
      </c>
      <c r="J54" s="7">
        <f t="shared" si="3"/>
        <v>20.655000000000001</v>
      </c>
      <c r="K54" s="7">
        <f t="shared" si="4"/>
        <v>19.89</v>
      </c>
      <c r="L54" s="7">
        <f t="shared" si="5"/>
        <v>19.125</v>
      </c>
      <c r="N54" s="7">
        <f t="shared" si="6"/>
        <v>34.424999999999997</v>
      </c>
      <c r="O54" s="7">
        <f t="shared" si="7"/>
        <v>33.15</v>
      </c>
      <c r="P54" s="7">
        <f t="shared" si="8"/>
        <v>31.875</v>
      </c>
      <c r="R54" s="7">
        <f t="shared" si="9"/>
        <v>68.849999999999994</v>
      </c>
      <c r="S54" s="7">
        <f t="shared" si="10"/>
        <v>66.3</v>
      </c>
      <c r="T54" s="7">
        <f t="shared" si="11"/>
        <v>63.75</v>
      </c>
    </row>
    <row r="55" spans="1:20" s="7" customFormat="1" x14ac:dyDescent="0.2">
      <c r="A55" s="7" t="s">
        <v>177</v>
      </c>
      <c r="C55" s="7" t="s">
        <v>57</v>
      </c>
      <c r="D55" s="7">
        <v>155</v>
      </c>
      <c r="E55" s="7">
        <v>100</v>
      </c>
      <c r="F55" s="8">
        <f t="shared" si="0"/>
        <v>6.2775000000000007</v>
      </c>
      <c r="G55" s="8">
        <f t="shared" si="1"/>
        <v>10.075000000000001</v>
      </c>
      <c r="H55" s="8">
        <f t="shared" si="2"/>
        <v>19.375</v>
      </c>
      <c r="J55" s="7">
        <f t="shared" si="3"/>
        <v>6.2775000000000007</v>
      </c>
      <c r="K55" s="7">
        <f t="shared" si="4"/>
        <v>6.0449999999999999</v>
      </c>
      <c r="L55" s="7">
        <f t="shared" si="5"/>
        <v>5.8125</v>
      </c>
      <c r="N55" s="7">
        <f t="shared" si="6"/>
        <v>10.462500000000002</v>
      </c>
      <c r="O55" s="7">
        <f t="shared" si="7"/>
        <v>10.075000000000001</v>
      </c>
      <c r="P55" s="7">
        <f t="shared" si="8"/>
        <v>9.6875</v>
      </c>
      <c r="R55" s="7">
        <f t="shared" si="9"/>
        <v>20.925000000000004</v>
      </c>
      <c r="S55" s="7">
        <f t="shared" si="10"/>
        <v>20.150000000000002</v>
      </c>
      <c r="T55" s="7">
        <f t="shared" si="11"/>
        <v>19.375</v>
      </c>
    </row>
    <row r="56" spans="1:20" s="7" customFormat="1" x14ac:dyDescent="0.2">
      <c r="A56" s="7" t="s">
        <v>177</v>
      </c>
      <c r="C56" s="7" t="s">
        <v>58</v>
      </c>
      <c r="D56" s="7">
        <v>300</v>
      </c>
      <c r="E56" s="7">
        <v>100</v>
      </c>
      <c r="F56" s="8">
        <f t="shared" si="0"/>
        <v>12.150000000000002</v>
      </c>
      <c r="G56" s="8">
        <f t="shared" si="1"/>
        <v>19.5</v>
      </c>
      <c r="H56" s="8">
        <f t="shared" si="2"/>
        <v>37.5</v>
      </c>
      <c r="J56" s="7">
        <f t="shared" si="3"/>
        <v>12.150000000000002</v>
      </c>
      <c r="K56" s="7">
        <f t="shared" si="4"/>
        <v>11.700000000000001</v>
      </c>
      <c r="L56" s="7">
        <f t="shared" si="5"/>
        <v>11.25</v>
      </c>
      <c r="N56" s="7">
        <f t="shared" si="6"/>
        <v>20.250000000000004</v>
      </c>
      <c r="O56" s="7">
        <f t="shared" si="7"/>
        <v>19.5</v>
      </c>
      <c r="P56" s="7">
        <f t="shared" si="8"/>
        <v>18.75</v>
      </c>
      <c r="R56" s="7">
        <f t="shared" si="9"/>
        <v>40.500000000000007</v>
      </c>
      <c r="S56" s="7">
        <f t="shared" si="10"/>
        <v>39</v>
      </c>
      <c r="T56" s="7">
        <f t="shared" si="11"/>
        <v>37.5</v>
      </c>
    </row>
    <row r="57" spans="1:20" s="7" customFormat="1" x14ac:dyDescent="0.2">
      <c r="A57" s="7" t="s">
        <v>191</v>
      </c>
      <c r="C57" s="7" t="s">
        <v>59</v>
      </c>
      <c r="D57" s="7">
        <v>295</v>
      </c>
      <c r="E57" s="7">
        <v>100</v>
      </c>
      <c r="F57" s="8">
        <f t="shared" si="0"/>
        <v>11.947500000000002</v>
      </c>
      <c r="G57" s="8">
        <f t="shared" si="1"/>
        <v>19.175000000000001</v>
      </c>
      <c r="H57" s="8">
        <f t="shared" si="2"/>
        <v>36.875</v>
      </c>
      <c r="J57" s="7">
        <f t="shared" si="3"/>
        <v>11.947500000000002</v>
      </c>
      <c r="K57" s="7">
        <f t="shared" si="4"/>
        <v>11.505000000000001</v>
      </c>
      <c r="L57" s="7">
        <f t="shared" si="5"/>
        <v>11.0625</v>
      </c>
      <c r="N57" s="7">
        <f t="shared" si="6"/>
        <v>19.912500000000001</v>
      </c>
      <c r="O57" s="7">
        <f t="shared" si="7"/>
        <v>19.175000000000001</v>
      </c>
      <c r="P57" s="7">
        <f t="shared" si="8"/>
        <v>18.4375</v>
      </c>
      <c r="R57" s="7">
        <f t="shared" si="9"/>
        <v>39.825000000000003</v>
      </c>
      <c r="S57" s="7">
        <f t="shared" si="10"/>
        <v>38.35</v>
      </c>
      <c r="T57" s="7">
        <f t="shared" si="11"/>
        <v>36.875</v>
      </c>
    </row>
    <row r="58" spans="1:20" s="7" customFormat="1" x14ac:dyDescent="0.2">
      <c r="A58" s="7" t="s">
        <v>177</v>
      </c>
      <c r="C58" s="7" t="s">
        <v>60</v>
      </c>
      <c r="D58" s="7">
        <v>265</v>
      </c>
      <c r="E58" s="7">
        <v>100</v>
      </c>
      <c r="F58" s="8">
        <f t="shared" si="0"/>
        <v>10.7325</v>
      </c>
      <c r="G58" s="8">
        <f t="shared" si="1"/>
        <v>17.224999999999998</v>
      </c>
      <c r="H58" s="8">
        <f t="shared" si="2"/>
        <v>33.125</v>
      </c>
      <c r="J58" s="7">
        <f t="shared" si="3"/>
        <v>10.7325</v>
      </c>
      <c r="K58" s="7">
        <f t="shared" si="4"/>
        <v>10.334999999999999</v>
      </c>
      <c r="L58" s="7">
        <f t="shared" si="5"/>
        <v>9.9375</v>
      </c>
      <c r="N58" s="7">
        <f t="shared" si="6"/>
        <v>17.887499999999999</v>
      </c>
      <c r="O58" s="7">
        <f t="shared" si="7"/>
        <v>17.224999999999998</v>
      </c>
      <c r="P58" s="7">
        <f t="shared" si="8"/>
        <v>16.5625</v>
      </c>
      <c r="R58" s="7">
        <f t="shared" si="9"/>
        <v>35.774999999999999</v>
      </c>
      <c r="S58" s="7">
        <f t="shared" si="10"/>
        <v>34.449999999999996</v>
      </c>
      <c r="T58" s="7">
        <f t="shared" si="11"/>
        <v>33.125</v>
      </c>
    </row>
    <row r="59" spans="1:20" s="7" customFormat="1" x14ac:dyDescent="0.2">
      <c r="A59" s="7" t="s">
        <v>171</v>
      </c>
      <c r="C59" s="7" t="s">
        <v>61</v>
      </c>
      <c r="D59" s="7">
        <v>215</v>
      </c>
      <c r="E59" s="7">
        <v>50</v>
      </c>
      <c r="F59" s="8">
        <f t="shared" si="0"/>
        <v>17.414999999999999</v>
      </c>
      <c r="G59" s="8">
        <f t="shared" si="1"/>
        <v>27.95</v>
      </c>
      <c r="H59" s="8">
        <f t="shared" si="2"/>
        <v>53.75</v>
      </c>
      <c r="J59" s="7">
        <f t="shared" si="3"/>
        <v>17.414999999999999</v>
      </c>
      <c r="K59" s="7">
        <f t="shared" si="4"/>
        <v>16.77</v>
      </c>
      <c r="L59" s="7">
        <f t="shared" si="5"/>
        <v>16.125</v>
      </c>
      <c r="N59" s="7">
        <f t="shared" si="6"/>
        <v>29.024999999999999</v>
      </c>
      <c r="O59" s="7">
        <f t="shared" si="7"/>
        <v>27.95</v>
      </c>
      <c r="P59" s="7">
        <f t="shared" si="8"/>
        <v>26.875</v>
      </c>
      <c r="R59" s="7">
        <f t="shared" si="9"/>
        <v>58.05</v>
      </c>
      <c r="S59" s="7">
        <f t="shared" si="10"/>
        <v>55.9</v>
      </c>
      <c r="T59" s="7">
        <f t="shared" si="11"/>
        <v>53.75</v>
      </c>
    </row>
    <row r="60" spans="1:20" s="7" customFormat="1" x14ac:dyDescent="0.2">
      <c r="A60" s="7" t="s">
        <v>192</v>
      </c>
      <c r="C60" s="7" t="s">
        <v>62</v>
      </c>
      <c r="D60" s="7">
        <v>167</v>
      </c>
      <c r="E60" s="7">
        <v>100</v>
      </c>
      <c r="F60" s="8">
        <f t="shared" si="0"/>
        <v>6.7635000000000005</v>
      </c>
      <c r="G60" s="8">
        <f t="shared" si="1"/>
        <v>10.854999999999999</v>
      </c>
      <c r="H60" s="8">
        <f t="shared" si="2"/>
        <v>20.875</v>
      </c>
      <c r="J60" s="7">
        <f t="shared" si="3"/>
        <v>6.7635000000000005</v>
      </c>
      <c r="K60" s="7">
        <f t="shared" si="4"/>
        <v>6.5129999999999999</v>
      </c>
      <c r="L60" s="7">
        <f t="shared" si="5"/>
        <v>6.2624999999999993</v>
      </c>
      <c r="N60" s="7">
        <f t="shared" si="6"/>
        <v>11.272500000000001</v>
      </c>
      <c r="O60" s="7">
        <f t="shared" si="7"/>
        <v>10.854999999999999</v>
      </c>
      <c r="P60" s="7">
        <f t="shared" si="8"/>
        <v>10.4375</v>
      </c>
      <c r="R60" s="7">
        <f t="shared" si="9"/>
        <v>22.545000000000002</v>
      </c>
      <c r="S60" s="7">
        <f t="shared" si="10"/>
        <v>21.709999999999997</v>
      </c>
      <c r="T60" s="7">
        <f t="shared" si="11"/>
        <v>20.875</v>
      </c>
    </row>
    <row r="61" spans="1:20" s="7" customFormat="1" x14ac:dyDescent="0.2">
      <c r="A61" s="7" t="s">
        <v>193</v>
      </c>
      <c r="C61" s="7" t="s">
        <v>63</v>
      </c>
      <c r="D61" s="7">
        <v>189</v>
      </c>
      <c r="E61" s="7">
        <v>100</v>
      </c>
      <c r="F61" s="8">
        <f t="shared" si="0"/>
        <v>7.6544999999999996</v>
      </c>
      <c r="G61" s="8">
        <f t="shared" si="1"/>
        <v>12.285</v>
      </c>
      <c r="H61" s="8">
        <f t="shared" si="2"/>
        <v>23.625</v>
      </c>
      <c r="J61" s="7">
        <f t="shared" si="3"/>
        <v>7.6544999999999996</v>
      </c>
      <c r="K61" s="7">
        <f t="shared" si="4"/>
        <v>7.3709999999999996</v>
      </c>
      <c r="L61" s="7">
        <f t="shared" si="5"/>
        <v>7.0874999999999995</v>
      </c>
      <c r="N61" s="7">
        <f t="shared" si="6"/>
        <v>12.7575</v>
      </c>
      <c r="O61" s="7">
        <f t="shared" si="7"/>
        <v>12.285</v>
      </c>
      <c r="P61" s="7">
        <f t="shared" si="8"/>
        <v>11.8125</v>
      </c>
      <c r="R61" s="7">
        <f t="shared" si="9"/>
        <v>25.515000000000001</v>
      </c>
      <c r="S61" s="7">
        <f t="shared" si="10"/>
        <v>24.57</v>
      </c>
      <c r="T61" s="7">
        <f t="shared" si="11"/>
        <v>23.625</v>
      </c>
    </row>
    <row r="62" spans="1:20" s="7" customFormat="1" x14ac:dyDescent="0.2">
      <c r="A62" s="7" t="s">
        <v>192</v>
      </c>
      <c r="C62" s="7" t="s">
        <v>64</v>
      </c>
      <c r="D62" s="7">
        <v>155</v>
      </c>
      <c r="E62" s="7">
        <v>50</v>
      </c>
      <c r="F62" s="8">
        <f t="shared" si="0"/>
        <v>12.555000000000001</v>
      </c>
      <c r="G62" s="8">
        <f t="shared" si="1"/>
        <v>20.150000000000002</v>
      </c>
      <c r="H62" s="8">
        <f t="shared" si="2"/>
        <v>38.75</v>
      </c>
      <c r="J62" s="7">
        <f t="shared" si="3"/>
        <v>12.555000000000001</v>
      </c>
      <c r="K62" s="7">
        <f t="shared" si="4"/>
        <v>12.09</v>
      </c>
      <c r="L62" s="7">
        <f t="shared" si="5"/>
        <v>11.625</v>
      </c>
      <c r="N62" s="7">
        <f t="shared" si="6"/>
        <v>20.925000000000004</v>
      </c>
      <c r="O62" s="7">
        <f t="shared" si="7"/>
        <v>20.150000000000002</v>
      </c>
      <c r="P62" s="7">
        <f t="shared" si="8"/>
        <v>19.375</v>
      </c>
      <c r="R62" s="7">
        <f t="shared" si="9"/>
        <v>41.850000000000009</v>
      </c>
      <c r="S62" s="7">
        <f t="shared" si="10"/>
        <v>40.300000000000004</v>
      </c>
      <c r="T62" s="7">
        <f t="shared" si="11"/>
        <v>38.75</v>
      </c>
    </row>
    <row r="63" spans="1:20" s="7" customFormat="1" x14ac:dyDescent="0.2">
      <c r="A63" s="7" t="s">
        <v>192</v>
      </c>
      <c r="C63" s="7" t="s">
        <v>65</v>
      </c>
      <c r="D63" s="7">
        <v>150</v>
      </c>
      <c r="E63" s="7">
        <v>100</v>
      </c>
      <c r="F63" s="8">
        <f t="shared" si="0"/>
        <v>6.0750000000000011</v>
      </c>
      <c r="G63" s="8">
        <f t="shared" si="1"/>
        <v>9.75</v>
      </c>
      <c r="H63" s="8">
        <f t="shared" si="2"/>
        <v>18.75</v>
      </c>
      <c r="J63" s="7">
        <f t="shared" si="3"/>
        <v>6.0750000000000011</v>
      </c>
      <c r="K63" s="7">
        <f t="shared" si="4"/>
        <v>5.8500000000000005</v>
      </c>
      <c r="L63" s="7">
        <f t="shared" si="5"/>
        <v>5.625</v>
      </c>
      <c r="N63" s="7">
        <f t="shared" si="6"/>
        <v>10.125000000000002</v>
      </c>
      <c r="O63" s="7">
        <f t="shared" si="7"/>
        <v>9.75</v>
      </c>
      <c r="P63" s="7">
        <f t="shared" si="8"/>
        <v>9.375</v>
      </c>
      <c r="R63" s="7">
        <f t="shared" si="9"/>
        <v>20.250000000000004</v>
      </c>
      <c r="S63" s="7">
        <f t="shared" si="10"/>
        <v>19.5</v>
      </c>
      <c r="T63" s="7">
        <f t="shared" si="11"/>
        <v>18.75</v>
      </c>
    </row>
    <row r="64" spans="1:20" s="7" customFormat="1" x14ac:dyDescent="0.2">
      <c r="A64" s="7" t="s">
        <v>176</v>
      </c>
      <c r="C64" s="7" t="s">
        <v>66</v>
      </c>
      <c r="D64" s="7">
        <v>130</v>
      </c>
      <c r="E64" s="7">
        <v>100</v>
      </c>
      <c r="F64" s="8">
        <f t="shared" si="0"/>
        <v>5.2650000000000006</v>
      </c>
      <c r="G64" s="8">
        <f t="shared" si="1"/>
        <v>8.4500000000000011</v>
      </c>
      <c r="H64" s="8">
        <f t="shared" si="2"/>
        <v>16.25</v>
      </c>
      <c r="J64" s="7">
        <f t="shared" si="3"/>
        <v>5.2650000000000006</v>
      </c>
      <c r="K64" s="7">
        <f t="shared" si="4"/>
        <v>5.07</v>
      </c>
      <c r="L64" s="7">
        <f t="shared" si="5"/>
        <v>4.875</v>
      </c>
      <c r="N64" s="7">
        <f t="shared" si="6"/>
        <v>8.7750000000000004</v>
      </c>
      <c r="O64" s="7">
        <f t="shared" si="7"/>
        <v>8.4500000000000011</v>
      </c>
      <c r="P64" s="7">
        <f t="shared" si="8"/>
        <v>8.125</v>
      </c>
      <c r="R64" s="7">
        <f t="shared" si="9"/>
        <v>17.55</v>
      </c>
      <c r="S64" s="7">
        <f t="shared" si="10"/>
        <v>16.900000000000002</v>
      </c>
      <c r="T64" s="7">
        <f t="shared" si="11"/>
        <v>16.25</v>
      </c>
    </row>
    <row r="65" spans="1:20" s="7" customFormat="1" x14ac:dyDescent="0.2">
      <c r="A65" s="7" t="s">
        <v>194</v>
      </c>
      <c r="C65" s="7" t="s">
        <v>67</v>
      </c>
      <c r="D65" s="7">
        <v>295</v>
      </c>
      <c r="E65" s="7">
        <v>100</v>
      </c>
      <c r="F65" s="8">
        <f t="shared" si="0"/>
        <v>11.947500000000002</v>
      </c>
      <c r="G65" s="8">
        <f t="shared" si="1"/>
        <v>19.175000000000001</v>
      </c>
      <c r="H65" s="8">
        <f t="shared" si="2"/>
        <v>36.875</v>
      </c>
      <c r="J65" s="7">
        <f t="shared" si="3"/>
        <v>11.947500000000002</v>
      </c>
      <c r="K65" s="7">
        <f t="shared" si="4"/>
        <v>11.505000000000001</v>
      </c>
      <c r="L65" s="7">
        <f t="shared" si="5"/>
        <v>11.0625</v>
      </c>
      <c r="N65" s="7">
        <f t="shared" si="6"/>
        <v>19.912500000000001</v>
      </c>
      <c r="O65" s="7">
        <f t="shared" si="7"/>
        <v>19.175000000000001</v>
      </c>
      <c r="P65" s="7">
        <f t="shared" si="8"/>
        <v>18.4375</v>
      </c>
      <c r="R65" s="7">
        <f t="shared" si="9"/>
        <v>39.825000000000003</v>
      </c>
      <c r="S65" s="7">
        <f t="shared" si="10"/>
        <v>38.35</v>
      </c>
      <c r="T65" s="7">
        <f t="shared" si="11"/>
        <v>36.875</v>
      </c>
    </row>
    <row r="66" spans="1:20" s="7" customFormat="1" x14ac:dyDescent="0.2">
      <c r="A66" s="7" t="s">
        <v>195</v>
      </c>
      <c r="C66" s="7" t="s">
        <v>68</v>
      </c>
      <c r="D66" s="7">
        <v>145</v>
      </c>
      <c r="E66" s="7">
        <v>50</v>
      </c>
      <c r="F66" s="8">
        <f t="shared" si="0"/>
        <v>11.745000000000001</v>
      </c>
      <c r="G66" s="8">
        <f t="shared" si="1"/>
        <v>18.850000000000001</v>
      </c>
      <c r="H66" s="8">
        <f t="shared" si="2"/>
        <v>36.25</v>
      </c>
      <c r="J66" s="7">
        <f t="shared" si="3"/>
        <v>11.745000000000001</v>
      </c>
      <c r="K66" s="7">
        <f t="shared" si="4"/>
        <v>11.31</v>
      </c>
      <c r="L66" s="7">
        <f t="shared" si="5"/>
        <v>10.875</v>
      </c>
      <c r="N66" s="7">
        <f t="shared" si="6"/>
        <v>19.574999999999999</v>
      </c>
      <c r="O66" s="7">
        <f t="shared" si="7"/>
        <v>18.850000000000001</v>
      </c>
      <c r="P66" s="7">
        <f t="shared" si="8"/>
        <v>18.125</v>
      </c>
      <c r="R66" s="7">
        <f t="shared" si="9"/>
        <v>39.15</v>
      </c>
      <c r="S66" s="7">
        <f t="shared" si="10"/>
        <v>37.700000000000003</v>
      </c>
      <c r="T66" s="7">
        <f t="shared" si="11"/>
        <v>36.25</v>
      </c>
    </row>
    <row r="67" spans="1:20" s="7" customFormat="1" x14ac:dyDescent="0.2">
      <c r="A67" s="7" t="s">
        <v>196</v>
      </c>
      <c r="C67" s="7" t="s">
        <v>69</v>
      </c>
      <c r="D67" s="7">
        <v>145</v>
      </c>
      <c r="E67" s="7">
        <v>50</v>
      </c>
      <c r="F67" s="8">
        <f t="shared" si="0"/>
        <v>11.745000000000001</v>
      </c>
      <c r="G67" s="8">
        <f t="shared" si="1"/>
        <v>18.850000000000001</v>
      </c>
      <c r="H67" s="8">
        <f t="shared" si="2"/>
        <v>36.25</v>
      </c>
      <c r="J67" s="7">
        <f t="shared" si="3"/>
        <v>11.745000000000001</v>
      </c>
      <c r="K67" s="7">
        <f t="shared" si="4"/>
        <v>11.31</v>
      </c>
      <c r="L67" s="7">
        <f t="shared" si="5"/>
        <v>10.875</v>
      </c>
      <c r="N67" s="7">
        <f t="shared" si="6"/>
        <v>19.574999999999999</v>
      </c>
      <c r="O67" s="7">
        <f t="shared" si="7"/>
        <v>18.850000000000001</v>
      </c>
      <c r="P67" s="7">
        <f t="shared" si="8"/>
        <v>18.125</v>
      </c>
      <c r="R67" s="7">
        <f t="shared" si="9"/>
        <v>39.15</v>
      </c>
      <c r="S67" s="7">
        <f t="shared" si="10"/>
        <v>37.700000000000003</v>
      </c>
      <c r="T67" s="7">
        <f t="shared" si="11"/>
        <v>36.25</v>
      </c>
    </row>
    <row r="68" spans="1:20" s="7" customFormat="1" x14ac:dyDescent="0.2">
      <c r="A68" s="7" t="s">
        <v>175</v>
      </c>
      <c r="C68" s="7" t="s">
        <v>70</v>
      </c>
      <c r="D68" s="7">
        <v>140</v>
      </c>
      <c r="E68" s="7">
        <v>50</v>
      </c>
      <c r="F68" s="8">
        <f t="shared" si="0"/>
        <v>11.34</v>
      </c>
      <c r="G68" s="8">
        <f t="shared" si="1"/>
        <v>18.2</v>
      </c>
      <c r="H68" s="8">
        <f t="shared" si="2"/>
        <v>35</v>
      </c>
      <c r="J68" s="7">
        <f t="shared" si="3"/>
        <v>11.34</v>
      </c>
      <c r="K68" s="7">
        <f t="shared" si="4"/>
        <v>10.919999999999998</v>
      </c>
      <c r="L68" s="7">
        <f t="shared" si="5"/>
        <v>10.5</v>
      </c>
      <c r="N68" s="7">
        <f t="shared" si="6"/>
        <v>18.899999999999999</v>
      </c>
      <c r="O68" s="7">
        <f t="shared" si="7"/>
        <v>18.2</v>
      </c>
      <c r="P68" s="7">
        <f t="shared" si="8"/>
        <v>17.5</v>
      </c>
      <c r="R68" s="7">
        <f t="shared" si="9"/>
        <v>37.799999999999997</v>
      </c>
      <c r="S68" s="7">
        <f t="shared" si="10"/>
        <v>36.4</v>
      </c>
      <c r="T68" s="7">
        <f t="shared" si="11"/>
        <v>35</v>
      </c>
    </row>
    <row r="69" spans="1:20" s="7" customFormat="1" x14ac:dyDescent="0.2">
      <c r="A69" s="7" t="s">
        <v>176</v>
      </c>
      <c r="C69" s="7" t="s">
        <v>71</v>
      </c>
      <c r="D69" s="7">
        <v>125</v>
      </c>
      <c r="E69" s="7">
        <v>100</v>
      </c>
      <c r="F69" s="8">
        <f t="shared" si="0"/>
        <v>5.0625</v>
      </c>
      <c r="G69" s="8">
        <f t="shared" si="1"/>
        <v>8.125</v>
      </c>
      <c r="H69" s="8">
        <f t="shared" si="2"/>
        <v>15.625</v>
      </c>
      <c r="J69" s="7">
        <f t="shared" si="3"/>
        <v>5.0625</v>
      </c>
      <c r="K69" s="7">
        <f t="shared" si="4"/>
        <v>4.875</v>
      </c>
      <c r="L69" s="7">
        <f t="shared" si="5"/>
        <v>4.6875</v>
      </c>
      <c r="N69" s="7">
        <f t="shared" si="6"/>
        <v>8.4375</v>
      </c>
      <c r="O69" s="7">
        <f t="shared" si="7"/>
        <v>8.125</v>
      </c>
      <c r="P69" s="7">
        <f t="shared" si="8"/>
        <v>7.8125</v>
      </c>
      <c r="R69" s="7">
        <f t="shared" si="9"/>
        <v>16.875</v>
      </c>
      <c r="S69" s="7">
        <f t="shared" si="10"/>
        <v>16.25</v>
      </c>
      <c r="T69" s="7">
        <f t="shared" si="11"/>
        <v>15.625</v>
      </c>
    </row>
    <row r="70" spans="1:20" s="7" customFormat="1" x14ac:dyDescent="0.2">
      <c r="A70" s="7" t="s">
        <v>194</v>
      </c>
      <c r="C70" s="7" t="s">
        <v>72</v>
      </c>
      <c r="D70" s="7">
        <v>125</v>
      </c>
      <c r="E70" s="7">
        <v>100</v>
      </c>
      <c r="F70" s="8">
        <f t="shared" ref="F70:F133" si="12">J70</f>
        <v>5.0625</v>
      </c>
      <c r="G70" s="8">
        <f t="shared" ref="G70:G133" si="13">O70</f>
        <v>8.125</v>
      </c>
      <c r="H70" s="8">
        <f t="shared" ref="H70:H133" si="14">T70</f>
        <v>15.625</v>
      </c>
      <c r="J70" s="7">
        <f t="shared" si="3"/>
        <v>5.0625</v>
      </c>
      <c r="K70" s="7">
        <f t="shared" si="4"/>
        <v>4.875</v>
      </c>
      <c r="L70" s="7">
        <f t="shared" ref="L70:L133" si="15">(($D70/$E70)*1.25)*$L$1</f>
        <v>4.6875</v>
      </c>
      <c r="N70" s="7">
        <f t="shared" si="6"/>
        <v>8.4375</v>
      </c>
      <c r="O70" s="7">
        <f t="shared" si="7"/>
        <v>8.125</v>
      </c>
      <c r="P70" s="7">
        <f t="shared" ref="P70:P133" si="16">(($D70/$E70)*1.25)*$P$1</f>
        <v>7.8125</v>
      </c>
      <c r="R70" s="7">
        <f t="shared" si="9"/>
        <v>16.875</v>
      </c>
      <c r="S70" s="7">
        <f t="shared" si="10"/>
        <v>16.25</v>
      </c>
      <c r="T70" s="7">
        <f t="shared" ref="T70:T133" si="17">(($D70/$E70)*1.25)*$T$1</f>
        <v>15.625</v>
      </c>
    </row>
    <row r="71" spans="1:20" s="7" customFormat="1" x14ac:dyDescent="0.2">
      <c r="A71" s="7" t="s">
        <v>198</v>
      </c>
      <c r="C71" s="7" t="s">
        <v>197</v>
      </c>
      <c r="D71" s="7">
        <v>395</v>
      </c>
      <c r="E71" s="7">
        <v>100</v>
      </c>
      <c r="F71" s="8">
        <f t="shared" si="12"/>
        <v>15.997500000000002</v>
      </c>
      <c r="G71" s="8">
        <f t="shared" si="13"/>
        <v>25.675000000000004</v>
      </c>
      <c r="H71" s="8">
        <f t="shared" si="14"/>
        <v>49.375</v>
      </c>
      <c r="J71" s="7">
        <f t="shared" si="3"/>
        <v>15.997500000000002</v>
      </c>
      <c r="K71" s="7">
        <f t="shared" si="4"/>
        <v>15.405000000000001</v>
      </c>
      <c r="L71" s="7">
        <f t="shared" si="15"/>
        <v>14.8125</v>
      </c>
      <c r="N71" s="7">
        <f t="shared" si="6"/>
        <v>26.662500000000001</v>
      </c>
      <c r="O71" s="7">
        <f t="shared" si="7"/>
        <v>25.675000000000004</v>
      </c>
      <c r="P71" s="7">
        <f t="shared" si="16"/>
        <v>24.6875</v>
      </c>
      <c r="R71" s="7">
        <f t="shared" si="9"/>
        <v>53.325000000000003</v>
      </c>
      <c r="S71" s="7">
        <f t="shared" si="10"/>
        <v>51.350000000000009</v>
      </c>
      <c r="T71" s="7">
        <f t="shared" si="17"/>
        <v>49.375</v>
      </c>
    </row>
    <row r="72" spans="1:20" s="7" customFormat="1" x14ac:dyDescent="0.2">
      <c r="A72" s="7" t="s">
        <v>168</v>
      </c>
      <c r="C72" s="7" t="s">
        <v>73</v>
      </c>
      <c r="D72" s="7">
        <v>315</v>
      </c>
      <c r="E72" s="7">
        <v>50</v>
      </c>
      <c r="F72" s="8">
        <f t="shared" si="12"/>
        <v>25.515000000000001</v>
      </c>
      <c r="G72" s="8">
        <f t="shared" si="13"/>
        <v>40.949999999999996</v>
      </c>
      <c r="H72" s="8">
        <f t="shared" si="14"/>
        <v>78.75</v>
      </c>
      <c r="J72" s="7">
        <f t="shared" si="3"/>
        <v>25.515000000000001</v>
      </c>
      <c r="K72" s="7">
        <f t="shared" si="4"/>
        <v>24.57</v>
      </c>
      <c r="L72" s="7">
        <f t="shared" si="15"/>
        <v>23.625</v>
      </c>
      <c r="N72" s="7">
        <f t="shared" si="6"/>
        <v>42.525000000000006</v>
      </c>
      <c r="O72" s="7">
        <f t="shared" si="7"/>
        <v>40.949999999999996</v>
      </c>
      <c r="P72" s="7">
        <f t="shared" si="16"/>
        <v>39.375</v>
      </c>
      <c r="R72" s="7">
        <f t="shared" si="9"/>
        <v>85.050000000000011</v>
      </c>
      <c r="S72" s="7">
        <f t="shared" si="10"/>
        <v>81.899999999999991</v>
      </c>
      <c r="T72" s="7">
        <f t="shared" si="17"/>
        <v>78.75</v>
      </c>
    </row>
    <row r="73" spans="1:20" s="7" customFormat="1" x14ac:dyDescent="0.2">
      <c r="A73" s="7" t="s">
        <v>199</v>
      </c>
      <c r="C73" s="7" t="s">
        <v>74</v>
      </c>
      <c r="D73" s="7">
        <v>235</v>
      </c>
      <c r="E73" s="7">
        <v>50</v>
      </c>
      <c r="F73" s="8">
        <f t="shared" si="12"/>
        <v>19.035000000000004</v>
      </c>
      <c r="G73" s="8">
        <f t="shared" si="13"/>
        <v>30.55</v>
      </c>
      <c r="H73" s="8">
        <f t="shared" si="14"/>
        <v>58.75</v>
      </c>
      <c r="J73" s="7">
        <f t="shared" si="3"/>
        <v>19.035000000000004</v>
      </c>
      <c r="K73" s="7">
        <f t="shared" si="4"/>
        <v>18.330000000000002</v>
      </c>
      <c r="L73" s="7">
        <f t="shared" si="15"/>
        <v>17.625</v>
      </c>
      <c r="N73" s="7">
        <f t="shared" si="6"/>
        <v>31.725000000000001</v>
      </c>
      <c r="O73" s="7">
        <f t="shared" si="7"/>
        <v>30.55</v>
      </c>
      <c r="P73" s="7">
        <f t="shared" si="16"/>
        <v>29.375</v>
      </c>
      <c r="R73" s="7">
        <f t="shared" si="9"/>
        <v>63.45</v>
      </c>
      <c r="S73" s="7">
        <f t="shared" si="10"/>
        <v>61.1</v>
      </c>
      <c r="T73" s="7">
        <f t="shared" si="17"/>
        <v>58.75</v>
      </c>
    </row>
    <row r="74" spans="1:20" s="7" customFormat="1" x14ac:dyDescent="0.2">
      <c r="A74" s="7" t="s">
        <v>183</v>
      </c>
      <c r="C74" s="7" t="s">
        <v>75</v>
      </c>
      <c r="D74" s="7">
        <v>220</v>
      </c>
      <c r="E74" s="7">
        <v>30</v>
      </c>
      <c r="F74" s="8">
        <f t="shared" si="12"/>
        <v>29.700000000000003</v>
      </c>
      <c r="G74" s="8">
        <f t="shared" si="13"/>
        <v>47.666666666666664</v>
      </c>
      <c r="H74" s="8">
        <f t="shared" si="14"/>
        <v>91.666666666666657</v>
      </c>
      <c r="J74" s="7">
        <f t="shared" si="3"/>
        <v>29.700000000000003</v>
      </c>
      <c r="K74" s="7">
        <f t="shared" si="4"/>
        <v>28.6</v>
      </c>
      <c r="L74" s="7">
        <f t="shared" si="15"/>
        <v>27.5</v>
      </c>
      <c r="N74" s="7">
        <f t="shared" si="6"/>
        <v>49.5</v>
      </c>
      <c r="O74" s="7">
        <f t="shared" si="7"/>
        <v>47.666666666666664</v>
      </c>
      <c r="P74" s="7">
        <f t="shared" si="16"/>
        <v>45.833333333333329</v>
      </c>
      <c r="R74" s="7">
        <f t="shared" si="9"/>
        <v>99</v>
      </c>
      <c r="S74" s="7">
        <f t="shared" si="10"/>
        <v>95.333333333333329</v>
      </c>
      <c r="T74" s="7">
        <f t="shared" si="17"/>
        <v>91.666666666666657</v>
      </c>
    </row>
    <row r="75" spans="1:20" s="7" customFormat="1" x14ac:dyDescent="0.2">
      <c r="A75" s="7" t="s">
        <v>173</v>
      </c>
      <c r="C75" s="7" t="s">
        <v>76</v>
      </c>
      <c r="D75" s="7">
        <v>370</v>
      </c>
      <c r="E75" s="7">
        <v>100</v>
      </c>
      <c r="F75" s="8">
        <f t="shared" si="12"/>
        <v>14.985000000000003</v>
      </c>
      <c r="G75" s="8">
        <f t="shared" si="13"/>
        <v>24.050000000000004</v>
      </c>
      <c r="H75" s="8">
        <f t="shared" si="14"/>
        <v>46.25</v>
      </c>
      <c r="J75" s="7">
        <f t="shared" si="3"/>
        <v>14.985000000000003</v>
      </c>
      <c r="K75" s="7">
        <f t="shared" si="4"/>
        <v>14.430000000000001</v>
      </c>
      <c r="L75" s="7">
        <f t="shared" si="15"/>
        <v>13.875</v>
      </c>
      <c r="N75" s="7">
        <f t="shared" si="6"/>
        <v>24.975000000000005</v>
      </c>
      <c r="O75" s="7">
        <f t="shared" si="7"/>
        <v>24.050000000000004</v>
      </c>
      <c r="P75" s="7">
        <f t="shared" si="16"/>
        <v>23.125</v>
      </c>
      <c r="R75" s="7">
        <f t="shared" si="9"/>
        <v>49.95000000000001</v>
      </c>
      <c r="S75" s="7">
        <f t="shared" si="10"/>
        <v>48.100000000000009</v>
      </c>
      <c r="T75" s="7">
        <f t="shared" si="17"/>
        <v>46.25</v>
      </c>
    </row>
    <row r="76" spans="1:20" s="7" customFormat="1" x14ac:dyDescent="0.2">
      <c r="A76" s="7" t="s">
        <v>200</v>
      </c>
      <c r="C76" s="7" t="s">
        <v>77</v>
      </c>
      <c r="D76" s="7">
        <v>285</v>
      </c>
      <c r="E76" s="7">
        <v>50</v>
      </c>
      <c r="F76" s="8">
        <f t="shared" si="12"/>
        <v>23.085000000000004</v>
      </c>
      <c r="G76" s="8">
        <f t="shared" si="13"/>
        <v>37.049999999999997</v>
      </c>
      <c r="H76" s="8">
        <f t="shared" si="14"/>
        <v>71.25</v>
      </c>
      <c r="J76" s="7">
        <f t="shared" si="3"/>
        <v>23.085000000000004</v>
      </c>
      <c r="K76" s="7">
        <f t="shared" si="4"/>
        <v>22.23</v>
      </c>
      <c r="L76" s="7">
        <f t="shared" si="15"/>
        <v>21.375</v>
      </c>
      <c r="N76" s="7">
        <f t="shared" si="6"/>
        <v>38.475000000000009</v>
      </c>
      <c r="O76" s="7">
        <f t="shared" si="7"/>
        <v>37.049999999999997</v>
      </c>
      <c r="P76" s="7">
        <f t="shared" si="16"/>
        <v>35.625</v>
      </c>
      <c r="R76" s="7">
        <f t="shared" si="9"/>
        <v>76.950000000000017</v>
      </c>
      <c r="S76" s="7">
        <f t="shared" si="10"/>
        <v>74.099999999999994</v>
      </c>
      <c r="T76" s="7">
        <f t="shared" si="17"/>
        <v>71.25</v>
      </c>
    </row>
    <row r="77" spans="1:20" s="7" customFormat="1" x14ac:dyDescent="0.2">
      <c r="A77" s="7" t="s">
        <v>175</v>
      </c>
      <c r="C77" s="7" t="s">
        <v>78</v>
      </c>
      <c r="D77" s="7">
        <v>335</v>
      </c>
      <c r="E77" s="7">
        <v>100</v>
      </c>
      <c r="F77" s="8">
        <f t="shared" si="12"/>
        <v>13.567500000000003</v>
      </c>
      <c r="G77" s="8">
        <f t="shared" si="13"/>
        <v>21.775000000000002</v>
      </c>
      <c r="H77" s="8">
        <f t="shared" si="14"/>
        <v>41.875</v>
      </c>
      <c r="J77" s="7">
        <f t="shared" si="3"/>
        <v>13.567500000000003</v>
      </c>
      <c r="K77" s="7">
        <f t="shared" si="4"/>
        <v>13.065000000000001</v>
      </c>
      <c r="L77" s="7">
        <f t="shared" si="15"/>
        <v>12.5625</v>
      </c>
      <c r="N77" s="7">
        <f t="shared" si="6"/>
        <v>22.612500000000004</v>
      </c>
      <c r="O77" s="7">
        <f t="shared" si="7"/>
        <v>21.775000000000002</v>
      </c>
      <c r="P77" s="7">
        <f t="shared" si="16"/>
        <v>20.9375</v>
      </c>
      <c r="R77" s="7">
        <f t="shared" si="9"/>
        <v>45.225000000000009</v>
      </c>
      <c r="S77" s="7">
        <f t="shared" si="10"/>
        <v>43.550000000000004</v>
      </c>
      <c r="T77" s="7">
        <f t="shared" si="17"/>
        <v>41.875</v>
      </c>
    </row>
    <row r="78" spans="1:20" s="7" customFormat="1" x14ac:dyDescent="0.2">
      <c r="A78" s="7" t="s">
        <v>168</v>
      </c>
      <c r="C78" s="7" t="s">
        <v>79</v>
      </c>
      <c r="D78" s="7">
        <v>325</v>
      </c>
      <c r="E78" s="7">
        <v>100</v>
      </c>
      <c r="F78" s="8">
        <f t="shared" si="12"/>
        <v>13.162500000000001</v>
      </c>
      <c r="G78" s="8">
        <f t="shared" si="13"/>
        <v>21.125000000000004</v>
      </c>
      <c r="H78" s="8">
        <f t="shared" si="14"/>
        <v>40.625</v>
      </c>
      <c r="J78" s="7">
        <f t="shared" si="3"/>
        <v>13.162500000000001</v>
      </c>
      <c r="K78" s="7">
        <f t="shared" si="4"/>
        <v>12.675000000000001</v>
      </c>
      <c r="L78" s="7">
        <f t="shared" si="15"/>
        <v>12.1875</v>
      </c>
      <c r="N78" s="7">
        <f t="shared" si="6"/>
        <v>21.9375</v>
      </c>
      <c r="O78" s="7">
        <f t="shared" si="7"/>
        <v>21.125000000000004</v>
      </c>
      <c r="P78" s="7">
        <f t="shared" si="16"/>
        <v>20.3125</v>
      </c>
      <c r="R78" s="7">
        <f t="shared" si="9"/>
        <v>43.875</v>
      </c>
      <c r="S78" s="7">
        <f t="shared" si="10"/>
        <v>42.250000000000007</v>
      </c>
      <c r="T78" s="7">
        <f t="shared" si="17"/>
        <v>40.625</v>
      </c>
    </row>
    <row r="79" spans="1:20" s="7" customFormat="1" x14ac:dyDescent="0.2">
      <c r="A79" s="7" t="s">
        <v>177</v>
      </c>
      <c r="C79" s="7" t="s">
        <v>80</v>
      </c>
      <c r="D79" s="7">
        <v>325</v>
      </c>
      <c r="E79" s="7">
        <v>100</v>
      </c>
      <c r="F79" s="8">
        <f t="shared" si="12"/>
        <v>13.162500000000001</v>
      </c>
      <c r="G79" s="8">
        <f t="shared" si="13"/>
        <v>21.125000000000004</v>
      </c>
      <c r="H79" s="8">
        <f t="shared" si="14"/>
        <v>40.625</v>
      </c>
      <c r="J79" s="7">
        <f t="shared" si="3"/>
        <v>13.162500000000001</v>
      </c>
      <c r="K79" s="7">
        <f t="shared" si="4"/>
        <v>12.675000000000001</v>
      </c>
      <c r="L79" s="7">
        <f t="shared" si="15"/>
        <v>12.1875</v>
      </c>
      <c r="N79" s="7">
        <f t="shared" si="6"/>
        <v>21.9375</v>
      </c>
      <c r="O79" s="7">
        <f t="shared" si="7"/>
        <v>21.125000000000004</v>
      </c>
      <c r="P79" s="7">
        <f t="shared" si="16"/>
        <v>20.3125</v>
      </c>
      <c r="R79" s="7">
        <f t="shared" si="9"/>
        <v>43.875</v>
      </c>
      <c r="S79" s="7">
        <f t="shared" si="10"/>
        <v>42.250000000000007</v>
      </c>
      <c r="T79" s="7">
        <f t="shared" si="17"/>
        <v>40.625</v>
      </c>
    </row>
    <row r="80" spans="1:20" s="7" customFormat="1" x14ac:dyDescent="0.2">
      <c r="A80" s="7" t="s">
        <v>183</v>
      </c>
      <c r="C80" s="7" t="s">
        <v>81</v>
      </c>
      <c r="D80" s="7">
        <v>255</v>
      </c>
      <c r="E80" s="7">
        <v>50</v>
      </c>
      <c r="F80" s="8">
        <f t="shared" si="12"/>
        <v>20.655000000000001</v>
      </c>
      <c r="G80" s="8">
        <f t="shared" si="13"/>
        <v>33.15</v>
      </c>
      <c r="H80" s="8">
        <f t="shared" si="14"/>
        <v>63.75</v>
      </c>
      <c r="J80" s="7">
        <f t="shared" si="3"/>
        <v>20.655000000000001</v>
      </c>
      <c r="K80" s="7">
        <f t="shared" si="4"/>
        <v>19.89</v>
      </c>
      <c r="L80" s="7">
        <f t="shared" si="15"/>
        <v>19.125</v>
      </c>
      <c r="N80" s="7">
        <f t="shared" si="6"/>
        <v>34.424999999999997</v>
      </c>
      <c r="O80" s="7">
        <f t="shared" si="7"/>
        <v>33.15</v>
      </c>
      <c r="P80" s="7">
        <f t="shared" si="16"/>
        <v>31.875</v>
      </c>
      <c r="R80" s="7">
        <f t="shared" si="9"/>
        <v>68.849999999999994</v>
      </c>
      <c r="S80" s="7">
        <f t="shared" si="10"/>
        <v>66.3</v>
      </c>
      <c r="T80" s="7">
        <f t="shared" si="17"/>
        <v>63.75</v>
      </c>
    </row>
    <row r="81" spans="1:20" s="7" customFormat="1" x14ac:dyDescent="0.2">
      <c r="A81" s="7" t="s">
        <v>183</v>
      </c>
      <c r="C81" s="7" t="s">
        <v>82</v>
      </c>
      <c r="D81" s="7">
        <v>300</v>
      </c>
      <c r="E81" s="7">
        <v>125</v>
      </c>
      <c r="F81" s="8">
        <f t="shared" si="12"/>
        <v>9.7200000000000006</v>
      </c>
      <c r="G81" s="8">
        <f t="shared" si="13"/>
        <v>15.600000000000001</v>
      </c>
      <c r="H81" s="8">
        <f t="shared" si="14"/>
        <v>30</v>
      </c>
      <c r="J81" s="7">
        <f t="shared" si="3"/>
        <v>9.7200000000000006</v>
      </c>
      <c r="K81" s="7">
        <f t="shared" si="4"/>
        <v>9.36</v>
      </c>
      <c r="L81" s="7">
        <f t="shared" si="15"/>
        <v>9</v>
      </c>
      <c r="N81" s="7">
        <f t="shared" si="6"/>
        <v>16.200000000000003</v>
      </c>
      <c r="O81" s="7">
        <f t="shared" si="7"/>
        <v>15.600000000000001</v>
      </c>
      <c r="P81" s="7">
        <f t="shared" si="16"/>
        <v>15</v>
      </c>
      <c r="R81" s="7">
        <f t="shared" si="9"/>
        <v>32.400000000000006</v>
      </c>
      <c r="S81" s="7">
        <f t="shared" si="10"/>
        <v>31.200000000000003</v>
      </c>
      <c r="T81" s="7">
        <f t="shared" si="17"/>
        <v>30</v>
      </c>
    </row>
    <row r="82" spans="1:20" s="7" customFormat="1" x14ac:dyDescent="0.2">
      <c r="A82" s="7" t="s">
        <v>183</v>
      </c>
      <c r="C82" s="7" t="s">
        <v>83</v>
      </c>
      <c r="D82" s="7">
        <v>230</v>
      </c>
      <c r="E82" s="7">
        <v>100</v>
      </c>
      <c r="F82" s="8">
        <f t="shared" si="12"/>
        <v>9.3149999999999995</v>
      </c>
      <c r="G82" s="8">
        <f t="shared" si="13"/>
        <v>14.95</v>
      </c>
      <c r="H82" s="8">
        <f t="shared" si="14"/>
        <v>28.75</v>
      </c>
      <c r="J82" s="7">
        <f t="shared" si="3"/>
        <v>9.3149999999999995</v>
      </c>
      <c r="K82" s="7">
        <f t="shared" si="4"/>
        <v>8.9699999999999989</v>
      </c>
      <c r="L82" s="7">
        <f t="shared" si="15"/>
        <v>8.625</v>
      </c>
      <c r="N82" s="7">
        <f t="shared" si="6"/>
        <v>15.525</v>
      </c>
      <c r="O82" s="7">
        <f t="shared" si="7"/>
        <v>14.95</v>
      </c>
      <c r="P82" s="7">
        <f t="shared" si="16"/>
        <v>14.375</v>
      </c>
      <c r="R82" s="7">
        <f t="shared" si="9"/>
        <v>31.05</v>
      </c>
      <c r="S82" s="7">
        <f t="shared" si="10"/>
        <v>29.9</v>
      </c>
      <c r="T82" s="7">
        <f t="shared" si="17"/>
        <v>28.75</v>
      </c>
    </row>
    <row r="83" spans="1:20" s="7" customFormat="1" x14ac:dyDescent="0.2">
      <c r="A83" s="7" t="s">
        <v>183</v>
      </c>
      <c r="C83" s="7" t="s">
        <v>84</v>
      </c>
      <c r="D83" s="7">
        <v>170</v>
      </c>
      <c r="E83" s="7">
        <v>100</v>
      </c>
      <c r="F83" s="8">
        <f t="shared" si="12"/>
        <v>6.8849999999999998</v>
      </c>
      <c r="G83" s="8">
        <f t="shared" si="13"/>
        <v>11.05</v>
      </c>
      <c r="H83" s="8">
        <f t="shared" si="14"/>
        <v>21.25</v>
      </c>
      <c r="J83" s="7">
        <f t="shared" si="3"/>
        <v>6.8849999999999998</v>
      </c>
      <c r="K83" s="7">
        <f t="shared" si="4"/>
        <v>6.63</v>
      </c>
      <c r="L83" s="7">
        <f t="shared" si="15"/>
        <v>6.375</v>
      </c>
      <c r="N83" s="7">
        <f t="shared" si="6"/>
        <v>11.475</v>
      </c>
      <c r="O83" s="7">
        <f t="shared" si="7"/>
        <v>11.05</v>
      </c>
      <c r="P83" s="7">
        <f t="shared" si="16"/>
        <v>10.625</v>
      </c>
      <c r="R83" s="7">
        <f t="shared" si="9"/>
        <v>22.95</v>
      </c>
      <c r="S83" s="7">
        <f t="shared" si="10"/>
        <v>22.1</v>
      </c>
      <c r="T83" s="7">
        <f t="shared" si="17"/>
        <v>21.25</v>
      </c>
    </row>
    <row r="84" spans="1:20" s="7" customFormat="1" x14ac:dyDescent="0.2">
      <c r="A84" s="7" t="s">
        <v>178</v>
      </c>
      <c r="C84" s="7" t="s">
        <v>85</v>
      </c>
      <c r="D84" s="7">
        <v>170</v>
      </c>
      <c r="E84" s="7">
        <v>100</v>
      </c>
      <c r="F84" s="8">
        <f t="shared" si="12"/>
        <v>6.8849999999999998</v>
      </c>
      <c r="G84" s="8">
        <f t="shared" si="13"/>
        <v>11.05</v>
      </c>
      <c r="H84" s="8">
        <f t="shared" si="14"/>
        <v>21.25</v>
      </c>
      <c r="J84" s="7">
        <f t="shared" si="3"/>
        <v>6.8849999999999998</v>
      </c>
      <c r="K84" s="7">
        <f t="shared" si="4"/>
        <v>6.63</v>
      </c>
      <c r="L84" s="7">
        <f t="shared" si="15"/>
        <v>6.375</v>
      </c>
      <c r="N84" s="7">
        <f t="shared" si="6"/>
        <v>11.475</v>
      </c>
      <c r="O84" s="7">
        <f t="shared" si="7"/>
        <v>11.05</v>
      </c>
      <c r="P84" s="7">
        <f t="shared" si="16"/>
        <v>10.625</v>
      </c>
      <c r="R84" s="7">
        <f t="shared" si="9"/>
        <v>22.95</v>
      </c>
      <c r="S84" s="7">
        <f t="shared" si="10"/>
        <v>22.1</v>
      </c>
      <c r="T84" s="7">
        <f t="shared" si="17"/>
        <v>21.25</v>
      </c>
    </row>
    <row r="85" spans="1:20" s="7" customFormat="1" x14ac:dyDescent="0.2">
      <c r="A85" s="7" t="s">
        <v>187</v>
      </c>
      <c r="C85" s="7" t="s">
        <v>86</v>
      </c>
      <c r="D85" s="7">
        <v>235</v>
      </c>
      <c r="E85" s="7">
        <v>30</v>
      </c>
      <c r="F85" s="8">
        <f t="shared" si="12"/>
        <v>31.725000000000001</v>
      </c>
      <c r="G85" s="8">
        <f t="shared" si="13"/>
        <v>50.916666666666671</v>
      </c>
      <c r="H85" s="8">
        <f t="shared" si="14"/>
        <v>97.916666666666657</v>
      </c>
      <c r="J85" s="7">
        <f t="shared" si="3"/>
        <v>31.725000000000001</v>
      </c>
      <c r="K85" s="7">
        <f t="shared" si="4"/>
        <v>30.55</v>
      </c>
      <c r="L85" s="7">
        <f t="shared" si="15"/>
        <v>29.375</v>
      </c>
      <c r="N85" s="7">
        <f t="shared" si="6"/>
        <v>52.875000000000007</v>
      </c>
      <c r="O85" s="7">
        <f t="shared" si="7"/>
        <v>50.916666666666671</v>
      </c>
      <c r="P85" s="7">
        <f t="shared" si="16"/>
        <v>48.958333333333329</v>
      </c>
      <c r="R85" s="7">
        <f t="shared" si="9"/>
        <v>105.75000000000001</v>
      </c>
      <c r="S85" s="7">
        <f t="shared" si="10"/>
        <v>101.83333333333334</v>
      </c>
      <c r="T85" s="7">
        <f t="shared" si="17"/>
        <v>97.916666666666657</v>
      </c>
    </row>
    <row r="86" spans="1:20" s="7" customFormat="1" x14ac:dyDescent="0.2">
      <c r="A86" s="7" t="s">
        <v>201</v>
      </c>
      <c r="C86" s="7" t="s">
        <v>87</v>
      </c>
      <c r="D86" s="7">
        <v>235</v>
      </c>
      <c r="E86" s="7">
        <v>30</v>
      </c>
      <c r="F86" s="8">
        <f t="shared" si="12"/>
        <v>31.725000000000001</v>
      </c>
      <c r="G86" s="8">
        <f t="shared" si="13"/>
        <v>50.916666666666671</v>
      </c>
      <c r="H86" s="8">
        <f t="shared" si="14"/>
        <v>97.916666666666657</v>
      </c>
      <c r="J86" s="7">
        <f t="shared" si="3"/>
        <v>31.725000000000001</v>
      </c>
      <c r="K86" s="7">
        <f t="shared" si="4"/>
        <v>30.55</v>
      </c>
      <c r="L86" s="7">
        <f t="shared" si="15"/>
        <v>29.375</v>
      </c>
      <c r="N86" s="7">
        <f t="shared" si="6"/>
        <v>52.875000000000007</v>
      </c>
      <c r="O86" s="7">
        <f t="shared" si="7"/>
        <v>50.916666666666671</v>
      </c>
      <c r="P86" s="7">
        <f t="shared" si="16"/>
        <v>48.958333333333329</v>
      </c>
      <c r="R86" s="7">
        <f t="shared" si="9"/>
        <v>105.75000000000001</v>
      </c>
      <c r="S86" s="7">
        <f t="shared" si="10"/>
        <v>101.83333333333334</v>
      </c>
      <c r="T86" s="7">
        <f t="shared" si="17"/>
        <v>97.916666666666657</v>
      </c>
    </row>
    <row r="87" spans="1:20" s="7" customFormat="1" x14ac:dyDescent="0.2">
      <c r="A87" s="7" t="s">
        <v>201</v>
      </c>
      <c r="C87" s="7" t="s">
        <v>88</v>
      </c>
      <c r="D87" s="7">
        <v>220</v>
      </c>
      <c r="E87" s="7">
        <v>50</v>
      </c>
      <c r="F87" s="8">
        <f t="shared" si="12"/>
        <v>17.820000000000004</v>
      </c>
      <c r="G87" s="8">
        <f t="shared" si="13"/>
        <v>28.6</v>
      </c>
      <c r="H87" s="8">
        <f t="shared" si="14"/>
        <v>55</v>
      </c>
      <c r="J87" s="7">
        <f t="shared" si="3"/>
        <v>17.820000000000004</v>
      </c>
      <c r="K87" s="7">
        <f t="shared" si="4"/>
        <v>17.160000000000004</v>
      </c>
      <c r="L87" s="7">
        <f t="shared" si="15"/>
        <v>16.5</v>
      </c>
      <c r="N87" s="7">
        <f t="shared" si="6"/>
        <v>29.700000000000006</v>
      </c>
      <c r="O87" s="7">
        <f t="shared" si="7"/>
        <v>28.6</v>
      </c>
      <c r="P87" s="7">
        <f t="shared" si="16"/>
        <v>27.5</v>
      </c>
      <c r="R87" s="7">
        <f t="shared" si="9"/>
        <v>59.400000000000013</v>
      </c>
      <c r="S87" s="7">
        <f t="shared" si="10"/>
        <v>57.2</v>
      </c>
      <c r="T87" s="7">
        <f t="shared" si="17"/>
        <v>55</v>
      </c>
    </row>
    <row r="88" spans="1:20" s="7" customFormat="1" x14ac:dyDescent="0.2">
      <c r="A88" s="7" t="s">
        <v>168</v>
      </c>
      <c r="C88" s="7" t="s">
        <v>89</v>
      </c>
      <c r="D88" s="7">
        <v>150</v>
      </c>
      <c r="E88" s="7">
        <v>35</v>
      </c>
      <c r="F88" s="8">
        <f t="shared" si="12"/>
        <v>17.357142857142858</v>
      </c>
      <c r="G88" s="8">
        <f t="shared" si="13"/>
        <v>27.857142857142854</v>
      </c>
      <c r="H88" s="8">
        <f t="shared" si="14"/>
        <v>53.571428571428569</v>
      </c>
      <c r="J88" s="7">
        <f t="shared" si="3"/>
        <v>17.357142857142858</v>
      </c>
      <c r="K88" s="7">
        <f t="shared" si="4"/>
        <v>16.714285714285715</v>
      </c>
      <c r="L88" s="7">
        <f t="shared" si="15"/>
        <v>16.071428571428569</v>
      </c>
      <c r="N88" s="7">
        <f t="shared" si="6"/>
        <v>28.928571428571427</v>
      </c>
      <c r="O88" s="7">
        <f t="shared" si="7"/>
        <v>27.857142857142854</v>
      </c>
      <c r="P88" s="7">
        <f t="shared" si="16"/>
        <v>26.785714285714285</v>
      </c>
      <c r="R88" s="7">
        <f t="shared" si="9"/>
        <v>57.857142857142854</v>
      </c>
      <c r="S88" s="7">
        <f t="shared" si="10"/>
        <v>55.714285714285708</v>
      </c>
      <c r="T88" s="7">
        <f t="shared" si="17"/>
        <v>53.571428571428569</v>
      </c>
    </row>
    <row r="89" spans="1:20" s="7" customFormat="1" x14ac:dyDescent="0.2">
      <c r="A89" s="7" t="s">
        <v>179</v>
      </c>
      <c r="C89" s="7" t="s">
        <v>90</v>
      </c>
      <c r="D89" s="7">
        <v>129</v>
      </c>
      <c r="E89" s="7">
        <v>30</v>
      </c>
      <c r="F89" s="8">
        <f t="shared" si="12"/>
        <v>17.414999999999999</v>
      </c>
      <c r="G89" s="8">
        <f t="shared" si="13"/>
        <v>27.95</v>
      </c>
      <c r="H89" s="8">
        <f t="shared" si="14"/>
        <v>53.75</v>
      </c>
      <c r="J89" s="7">
        <f t="shared" si="3"/>
        <v>17.414999999999999</v>
      </c>
      <c r="K89" s="7">
        <f t="shared" si="4"/>
        <v>16.77</v>
      </c>
      <c r="L89" s="7">
        <f t="shared" si="15"/>
        <v>16.125</v>
      </c>
      <c r="N89" s="7">
        <f t="shared" si="6"/>
        <v>29.024999999999999</v>
      </c>
      <c r="O89" s="7">
        <f t="shared" si="7"/>
        <v>27.95</v>
      </c>
      <c r="P89" s="7">
        <f t="shared" si="16"/>
        <v>26.875</v>
      </c>
      <c r="R89" s="7">
        <f t="shared" si="9"/>
        <v>58.05</v>
      </c>
      <c r="S89" s="7">
        <f t="shared" si="10"/>
        <v>55.9</v>
      </c>
      <c r="T89" s="7">
        <f t="shared" si="17"/>
        <v>53.75</v>
      </c>
    </row>
    <row r="90" spans="1:20" s="7" customFormat="1" x14ac:dyDescent="0.2">
      <c r="A90" s="7" t="s">
        <v>185</v>
      </c>
      <c r="C90" s="7" t="s">
        <v>91</v>
      </c>
      <c r="D90" s="7">
        <v>145</v>
      </c>
      <c r="E90" s="7">
        <v>30</v>
      </c>
      <c r="F90" s="8">
        <f t="shared" si="12"/>
        <v>19.575000000000003</v>
      </c>
      <c r="G90" s="8">
        <f t="shared" si="13"/>
        <v>31.416666666666664</v>
      </c>
      <c r="H90" s="8">
        <f t="shared" si="14"/>
        <v>60.416666666666657</v>
      </c>
      <c r="J90" s="7">
        <f t="shared" si="3"/>
        <v>19.575000000000003</v>
      </c>
      <c r="K90" s="7">
        <f t="shared" si="4"/>
        <v>18.850000000000001</v>
      </c>
      <c r="L90" s="7">
        <f t="shared" si="15"/>
        <v>18.125</v>
      </c>
      <c r="N90" s="7">
        <f t="shared" si="6"/>
        <v>32.625</v>
      </c>
      <c r="O90" s="7">
        <f t="shared" si="7"/>
        <v>31.416666666666664</v>
      </c>
      <c r="P90" s="7">
        <f t="shared" si="16"/>
        <v>30.208333333333329</v>
      </c>
      <c r="R90" s="7">
        <f t="shared" si="9"/>
        <v>65.25</v>
      </c>
      <c r="S90" s="7">
        <f t="shared" si="10"/>
        <v>62.833333333333329</v>
      </c>
      <c r="T90" s="7">
        <f t="shared" si="17"/>
        <v>60.416666666666657</v>
      </c>
    </row>
    <row r="91" spans="1:20" s="7" customFormat="1" x14ac:dyDescent="0.2">
      <c r="A91" s="7" t="s">
        <v>202</v>
      </c>
      <c r="C91" s="7" t="s">
        <v>92</v>
      </c>
      <c r="D91" s="7">
        <v>70</v>
      </c>
      <c r="E91" s="7">
        <v>100</v>
      </c>
      <c r="F91" s="8">
        <f t="shared" si="12"/>
        <v>2.835</v>
      </c>
      <c r="G91" s="8">
        <f t="shared" si="13"/>
        <v>4.55</v>
      </c>
      <c r="H91" s="8">
        <f t="shared" si="14"/>
        <v>8.75</v>
      </c>
      <c r="J91" s="7">
        <f t="shared" si="3"/>
        <v>2.835</v>
      </c>
      <c r="K91" s="7">
        <f t="shared" si="4"/>
        <v>2.7299999999999995</v>
      </c>
      <c r="L91" s="7">
        <f t="shared" si="15"/>
        <v>2.625</v>
      </c>
      <c r="N91" s="7">
        <f t="shared" si="6"/>
        <v>4.7249999999999996</v>
      </c>
      <c r="O91" s="7">
        <f t="shared" si="7"/>
        <v>4.55</v>
      </c>
      <c r="P91" s="7">
        <f t="shared" si="16"/>
        <v>4.375</v>
      </c>
      <c r="R91" s="7">
        <f t="shared" si="9"/>
        <v>9.4499999999999993</v>
      </c>
      <c r="S91" s="7">
        <f t="shared" si="10"/>
        <v>9.1</v>
      </c>
      <c r="T91" s="7">
        <f t="shared" si="17"/>
        <v>8.75</v>
      </c>
    </row>
    <row r="92" spans="1:20" s="7" customFormat="1" x14ac:dyDescent="0.2">
      <c r="A92" s="7" t="s">
        <v>169</v>
      </c>
      <c r="C92" s="7" t="s">
        <v>93</v>
      </c>
      <c r="D92" s="7">
        <v>300</v>
      </c>
      <c r="E92" s="7">
        <v>100</v>
      </c>
      <c r="F92" s="8">
        <f t="shared" si="12"/>
        <v>12.150000000000002</v>
      </c>
      <c r="G92" s="8">
        <f t="shared" si="13"/>
        <v>19.5</v>
      </c>
      <c r="H92" s="8">
        <f t="shared" si="14"/>
        <v>37.5</v>
      </c>
      <c r="J92" s="7">
        <f t="shared" si="3"/>
        <v>12.150000000000002</v>
      </c>
      <c r="K92" s="7">
        <f t="shared" si="4"/>
        <v>11.700000000000001</v>
      </c>
      <c r="L92" s="7">
        <f t="shared" si="15"/>
        <v>11.25</v>
      </c>
      <c r="N92" s="7">
        <f t="shared" si="6"/>
        <v>20.250000000000004</v>
      </c>
      <c r="O92" s="7">
        <f t="shared" si="7"/>
        <v>19.5</v>
      </c>
      <c r="P92" s="7">
        <f t="shared" si="16"/>
        <v>18.75</v>
      </c>
      <c r="R92" s="7">
        <f t="shared" si="9"/>
        <v>40.500000000000007</v>
      </c>
      <c r="S92" s="7">
        <f t="shared" si="10"/>
        <v>39</v>
      </c>
      <c r="T92" s="7">
        <f t="shared" si="17"/>
        <v>37.5</v>
      </c>
    </row>
    <row r="93" spans="1:20" s="7" customFormat="1" x14ac:dyDescent="0.2">
      <c r="A93" s="7" t="s">
        <v>203</v>
      </c>
      <c r="C93" s="7" t="s">
        <v>94</v>
      </c>
      <c r="D93" s="7">
        <v>300</v>
      </c>
      <c r="E93" s="7">
        <v>100</v>
      </c>
      <c r="F93" s="8">
        <f t="shared" si="12"/>
        <v>12.150000000000002</v>
      </c>
      <c r="G93" s="8">
        <f t="shared" si="13"/>
        <v>19.5</v>
      </c>
      <c r="H93" s="8">
        <f t="shared" si="14"/>
        <v>37.5</v>
      </c>
      <c r="J93" s="7">
        <f t="shared" si="3"/>
        <v>12.150000000000002</v>
      </c>
      <c r="K93" s="7">
        <f t="shared" si="4"/>
        <v>11.700000000000001</v>
      </c>
      <c r="L93" s="7">
        <f t="shared" si="15"/>
        <v>11.25</v>
      </c>
      <c r="N93" s="7">
        <f t="shared" si="6"/>
        <v>20.250000000000004</v>
      </c>
      <c r="O93" s="7">
        <f t="shared" si="7"/>
        <v>19.5</v>
      </c>
      <c r="P93" s="7">
        <f t="shared" si="16"/>
        <v>18.75</v>
      </c>
      <c r="R93" s="7">
        <f t="shared" si="9"/>
        <v>40.500000000000007</v>
      </c>
      <c r="S93" s="7">
        <f t="shared" si="10"/>
        <v>39</v>
      </c>
      <c r="T93" s="7">
        <f t="shared" si="17"/>
        <v>37.5</v>
      </c>
    </row>
    <row r="94" spans="1:20" s="7" customFormat="1" x14ac:dyDescent="0.2">
      <c r="A94" s="7" t="s">
        <v>177</v>
      </c>
      <c r="C94" s="7" t="s">
        <v>95</v>
      </c>
      <c r="D94" s="7">
        <v>190</v>
      </c>
      <c r="E94" s="7">
        <v>75</v>
      </c>
      <c r="F94" s="8">
        <f t="shared" si="12"/>
        <v>10.26</v>
      </c>
      <c r="G94" s="8">
        <f t="shared" si="13"/>
        <v>16.466666666666669</v>
      </c>
      <c r="H94" s="8">
        <f t="shared" si="14"/>
        <v>31.666666666666664</v>
      </c>
      <c r="J94" s="7">
        <f t="shared" si="3"/>
        <v>10.26</v>
      </c>
      <c r="K94" s="7">
        <f t="shared" si="4"/>
        <v>9.8800000000000008</v>
      </c>
      <c r="L94" s="7">
        <f t="shared" si="15"/>
        <v>9.5</v>
      </c>
      <c r="N94" s="7">
        <f t="shared" si="6"/>
        <v>17.100000000000001</v>
      </c>
      <c r="O94" s="7">
        <f t="shared" si="7"/>
        <v>16.466666666666669</v>
      </c>
      <c r="P94" s="7">
        <f t="shared" si="16"/>
        <v>15.833333333333332</v>
      </c>
      <c r="R94" s="7">
        <f t="shared" si="9"/>
        <v>34.200000000000003</v>
      </c>
      <c r="S94" s="7">
        <f t="shared" si="10"/>
        <v>32.933333333333337</v>
      </c>
      <c r="T94" s="7">
        <f t="shared" si="17"/>
        <v>31.666666666666664</v>
      </c>
    </row>
    <row r="95" spans="1:20" s="7" customFormat="1" x14ac:dyDescent="0.2">
      <c r="A95" s="7" t="s">
        <v>175</v>
      </c>
      <c r="C95" s="7" t="s">
        <v>96</v>
      </c>
      <c r="D95" s="7">
        <v>310</v>
      </c>
      <c r="E95" s="7">
        <v>100</v>
      </c>
      <c r="F95" s="8">
        <f t="shared" si="12"/>
        <v>12.555000000000001</v>
      </c>
      <c r="G95" s="8">
        <f t="shared" si="13"/>
        <v>20.150000000000002</v>
      </c>
      <c r="H95" s="8">
        <f t="shared" si="14"/>
        <v>38.75</v>
      </c>
      <c r="J95" s="7">
        <f t="shared" si="3"/>
        <v>12.555000000000001</v>
      </c>
      <c r="K95" s="7">
        <f t="shared" si="4"/>
        <v>12.09</v>
      </c>
      <c r="L95" s="7">
        <f t="shared" si="15"/>
        <v>11.625</v>
      </c>
      <c r="N95" s="7">
        <f t="shared" si="6"/>
        <v>20.925000000000004</v>
      </c>
      <c r="O95" s="7">
        <f t="shared" si="7"/>
        <v>20.150000000000002</v>
      </c>
      <c r="P95" s="7">
        <f t="shared" si="16"/>
        <v>19.375</v>
      </c>
      <c r="R95" s="7">
        <f t="shared" si="9"/>
        <v>41.850000000000009</v>
      </c>
      <c r="S95" s="7">
        <f t="shared" si="10"/>
        <v>40.300000000000004</v>
      </c>
      <c r="T95" s="7">
        <f t="shared" si="17"/>
        <v>38.75</v>
      </c>
    </row>
    <row r="96" spans="1:20" s="7" customFormat="1" x14ac:dyDescent="0.2">
      <c r="A96" s="7" t="s">
        <v>175</v>
      </c>
      <c r="C96" s="7" t="s">
        <v>97</v>
      </c>
      <c r="D96" s="7">
        <v>205</v>
      </c>
      <c r="E96" s="7">
        <v>50</v>
      </c>
      <c r="F96" s="8">
        <f t="shared" si="12"/>
        <v>16.605</v>
      </c>
      <c r="G96" s="8">
        <f t="shared" si="13"/>
        <v>26.65</v>
      </c>
      <c r="H96" s="8">
        <f t="shared" si="14"/>
        <v>51.25</v>
      </c>
      <c r="J96" s="7">
        <f t="shared" si="3"/>
        <v>16.605</v>
      </c>
      <c r="K96" s="7">
        <f t="shared" si="4"/>
        <v>15.99</v>
      </c>
      <c r="L96" s="7">
        <f t="shared" si="15"/>
        <v>15.375</v>
      </c>
      <c r="N96" s="7">
        <f t="shared" si="6"/>
        <v>27.675000000000001</v>
      </c>
      <c r="O96" s="7">
        <f t="shared" si="7"/>
        <v>26.65</v>
      </c>
      <c r="P96" s="7">
        <f t="shared" si="16"/>
        <v>25.625</v>
      </c>
      <c r="R96" s="7">
        <f t="shared" si="9"/>
        <v>55.35</v>
      </c>
      <c r="S96" s="7">
        <f t="shared" si="10"/>
        <v>53.3</v>
      </c>
      <c r="T96" s="7">
        <f t="shared" si="17"/>
        <v>51.25</v>
      </c>
    </row>
    <row r="97" spans="1:20" s="7" customFormat="1" x14ac:dyDescent="0.2">
      <c r="A97" s="7" t="s">
        <v>175</v>
      </c>
      <c r="C97" s="7" t="s">
        <v>98</v>
      </c>
      <c r="D97" s="7">
        <v>235</v>
      </c>
      <c r="E97" s="7">
        <v>50</v>
      </c>
      <c r="F97" s="8">
        <f t="shared" si="12"/>
        <v>19.035000000000004</v>
      </c>
      <c r="G97" s="8">
        <f t="shared" si="13"/>
        <v>30.55</v>
      </c>
      <c r="H97" s="8">
        <f t="shared" si="14"/>
        <v>58.75</v>
      </c>
      <c r="J97" s="7">
        <f t="shared" si="3"/>
        <v>19.035000000000004</v>
      </c>
      <c r="K97" s="7">
        <f t="shared" si="4"/>
        <v>18.330000000000002</v>
      </c>
      <c r="L97" s="7">
        <f t="shared" si="15"/>
        <v>17.625</v>
      </c>
      <c r="N97" s="7">
        <f t="shared" si="6"/>
        <v>31.725000000000001</v>
      </c>
      <c r="O97" s="7">
        <f t="shared" si="7"/>
        <v>30.55</v>
      </c>
      <c r="P97" s="7">
        <f t="shared" si="16"/>
        <v>29.375</v>
      </c>
      <c r="R97" s="7">
        <f t="shared" si="9"/>
        <v>63.45</v>
      </c>
      <c r="S97" s="7">
        <f t="shared" si="10"/>
        <v>61.1</v>
      </c>
      <c r="T97" s="7">
        <f t="shared" si="17"/>
        <v>58.75</v>
      </c>
    </row>
    <row r="98" spans="1:20" s="7" customFormat="1" x14ac:dyDescent="0.2">
      <c r="A98" s="7" t="s">
        <v>173</v>
      </c>
      <c r="C98" s="7" t="s">
        <v>99</v>
      </c>
      <c r="D98" s="7">
        <v>235</v>
      </c>
      <c r="E98" s="7">
        <v>50</v>
      </c>
      <c r="F98" s="8">
        <f t="shared" si="12"/>
        <v>19.035000000000004</v>
      </c>
      <c r="G98" s="8">
        <f t="shared" si="13"/>
        <v>30.55</v>
      </c>
      <c r="H98" s="8">
        <f t="shared" si="14"/>
        <v>58.75</v>
      </c>
      <c r="J98" s="7">
        <f t="shared" si="3"/>
        <v>19.035000000000004</v>
      </c>
      <c r="K98" s="7">
        <f t="shared" si="4"/>
        <v>18.330000000000002</v>
      </c>
      <c r="L98" s="7">
        <f t="shared" si="15"/>
        <v>17.625</v>
      </c>
      <c r="N98" s="7">
        <f t="shared" si="6"/>
        <v>31.725000000000001</v>
      </c>
      <c r="O98" s="7">
        <f t="shared" si="7"/>
        <v>30.55</v>
      </c>
      <c r="P98" s="7">
        <f t="shared" si="16"/>
        <v>29.375</v>
      </c>
      <c r="R98" s="7">
        <f t="shared" si="9"/>
        <v>63.45</v>
      </c>
      <c r="S98" s="7">
        <f t="shared" si="10"/>
        <v>61.1</v>
      </c>
      <c r="T98" s="7">
        <f t="shared" si="17"/>
        <v>58.75</v>
      </c>
    </row>
    <row r="99" spans="1:20" s="7" customFormat="1" x14ac:dyDescent="0.2">
      <c r="A99" s="7" t="s">
        <v>168</v>
      </c>
      <c r="C99" s="7" t="s">
        <v>100</v>
      </c>
      <c r="D99" s="7">
        <v>220</v>
      </c>
      <c r="E99" s="7">
        <v>100</v>
      </c>
      <c r="F99" s="8">
        <f t="shared" si="12"/>
        <v>8.9100000000000019</v>
      </c>
      <c r="G99" s="8">
        <f t="shared" si="13"/>
        <v>14.3</v>
      </c>
      <c r="H99" s="8">
        <f t="shared" si="14"/>
        <v>27.5</v>
      </c>
      <c r="J99" s="7">
        <f t="shared" si="3"/>
        <v>8.9100000000000019</v>
      </c>
      <c r="K99" s="7">
        <f t="shared" si="4"/>
        <v>8.5800000000000018</v>
      </c>
      <c r="L99" s="7">
        <f t="shared" si="15"/>
        <v>8.25</v>
      </c>
      <c r="N99" s="7">
        <f t="shared" si="6"/>
        <v>14.850000000000003</v>
      </c>
      <c r="O99" s="7">
        <f t="shared" si="7"/>
        <v>14.3</v>
      </c>
      <c r="P99" s="7">
        <f t="shared" si="16"/>
        <v>13.75</v>
      </c>
      <c r="R99" s="7">
        <f t="shared" si="9"/>
        <v>29.700000000000006</v>
      </c>
      <c r="S99" s="7">
        <f t="shared" si="10"/>
        <v>28.6</v>
      </c>
      <c r="T99" s="7">
        <f t="shared" si="17"/>
        <v>27.5</v>
      </c>
    </row>
    <row r="100" spans="1:20" s="7" customFormat="1" x14ac:dyDescent="0.2">
      <c r="A100" s="7" t="s">
        <v>173</v>
      </c>
      <c r="C100" s="7" t="s">
        <v>101</v>
      </c>
      <c r="D100" s="7">
        <v>350</v>
      </c>
      <c r="E100" s="7">
        <v>100</v>
      </c>
      <c r="F100" s="8">
        <f t="shared" si="12"/>
        <v>14.175000000000001</v>
      </c>
      <c r="G100" s="8">
        <f t="shared" si="13"/>
        <v>22.75</v>
      </c>
      <c r="H100" s="8">
        <f t="shared" si="14"/>
        <v>43.75</v>
      </c>
      <c r="J100" s="7">
        <f t="shared" si="3"/>
        <v>14.175000000000001</v>
      </c>
      <c r="K100" s="7">
        <f t="shared" si="4"/>
        <v>13.649999999999999</v>
      </c>
      <c r="L100" s="7">
        <f t="shared" si="15"/>
        <v>13.125</v>
      </c>
      <c r="N100" s="7">
        <f t="shared" si="6"/>
        <v>23.625000000000004</v>
      </c>
      <c r="O100" s="7">
        <f t="shared" si="7"/>
        <v>22.75</v>
      </c>
      <c r="P100" s="7">
        <f t="shared" si="16"/>
        <v>21.875</v>
      </c>
      <c r="R100" s="7">
        <f t="shared" si="9"/>
        <v>47.250000000000007</v>
      </c>
      <c r="S100" s="7">
        <f t="shared" si="10"/>
        <v>45.5</v>
      </c>
      <c r="T100" s="7">
        <f t="shared" si="17"/>
        <v>43.75</v>
      </c>
    </row>
    <row r="101" spans="1:20" s="7" customFormat="1" x14ac:dyDescent="0.2">
      <c r="A101" s="7" t="s">
        <v>170</v>
      </c>
      <c r="C101" s="7" t="s">
        <v>102</v>
      </c>
      <c r="D101" s="7">
        <v>250</v>
      </c>
      <c r="E101" s="7">
        <v>100</v>
      </c>
      <c r="F101" s="8">
        <f t="shared" si="12"/>
        <v>10.125</v>
      </c>
      <c r="G101" s="8">
        <f t="shared" si="13"/>
        <v>16.25</v>
      </c>
      <c r="H101" s="8">
        <f t="shared" si="14"/>
        <v>31.25</v>
      </c>
      <c r="J101" s="7">
        <f t="shared" si="3"/>
        <v>10.125</v>
      </c>
      <c r="K101" s="7">
        <f t="shared" si="4"/>
        <v>9.75</v>
      </c>
      <c r="L101" s="7">
        <f t="shared" si="15"/>
        <v>9.375</v>
      </c>
      <c r="N101" s="7">
        <f t="shared" si="6"/>
        <v>16.875</v>
      </c>
      <c r="O101" s="7">
        <f t="shared" si="7"/>
        <v>16.25</v>
      </c>
      <c r="P101" s="7">
        <f t="shared" si="16"/>
        <v>15.625</v>
      </c>
      <c r="R101" s="7">
        <f t="shared" si="9"/>
        <v>33.75</v>
      </c>
      <c r="S101" s="7">
        <f t="shared" si="10"/>
        <v>32.5</v>
      </c>
      <c r="T101" s="7">
        <f t="shared" si="17"/>
        <v>31.25</v>
      </c>
    </row>
    <row r="102" spans="1:20" s="7" customFormat="1" x14ac:dyDescent="0.2">
      <c r="A102" s="7" t="s">
        <v>170</v>
      </c>
      <c r="C102" s="7" t="s">
        <v>103</v>
      </c>
      <c r="D102" s="7">
        <v>175</v>
      </c>
      <c r="E102" s="7">
        <v>100</v>
      </c>
      <c r="F102" s="8">
        <f t="shared" si="12"/>
        <v>7.0875000000000004</v>
      </c>
      <c r="G102" s="8">
        <f t="shared" si="13"/>
        <v>11.375</v>
      </c>
      <c r="H102" s="8">
        <f t="shared" si="14"/>
        <v>21.875</v>
      </c>
      <c r="J102" s="7">
        <f t="shared" si="3"/>
        <v>7.0875000000000004</v>
      </c>
      <c r="K102" s="7">
        <f t="shared" si="4"/>
        <v>6.8249999999999993</v>
      </c>
      <c r="L102" s="7">
        <f t="shared" si="15"/>
        <v>6.5625</v>
      </c>
      <c r="N102" s="7">
        <f t="shared" si="6"/>
        <v>11.812500000000002</v>
      </c>
      <c r="O102" s="7">
        <f t="shared" si="7"/>
        <v>11.375</v>
      </c>
      <c r="P102" s="7">
        <f t="shared" si="16"/>
        <v>10.9375</v>
      </c>
      <c r="R102" s="7">
        <f t="shared" si="9"/>
        <v>23.625000000000004</v>
      </c>
      <c r="S102" s="7">
        <f t="shared" si="10"/>
        <v>22.75</v>
      </c>
      <c r="T102" s="7">
        <f t="shared" si="17"/>
        <v>21.875</v>
      </c>
    </row>
    <row r="103" spans="1:20" s="7" customFormat="1" x14ac:dyDescent="0.2">
      <c r="A103" s="7" t="s">
        <v>185</v>
      </c>
      <c r="C103" s="7" t="s">
        <v>104</v>
      </c>
      <c r="D103" s="7">
        <v>265</v>
      </c>
      <c r="E103" s="7">
        <v>100</v>
      </c>
      <c r="F103" s="8">
        <f t="shared" si="12"/>
        <v>10.7325</v>
      </c>
      <c r="G103" s="8">
        <f t="shared" si="13"/>
        <v>17.224999999999998</v>
      </c>
      <c r="H103" s="8">
        <f t="shared" si="14"/>
        <v>33.125</v>
      </c>
      <c r="J103" s="7">
        <f t="shared" si="3"/>
        <v>10.7325</v>
      </c>
      <c r="K103" s="7">
        <f t="shared" si="4"/>
        <v>10.334999999999999</v>
      </c>
      <c r="L103" s="7">
        <f t="shared" si="15"/>
        <v>9.9375</v>
      </c>
      <c r="N103" s="7">
        <f t="shared" si="6"/>
        <v>17.887499999999999</v>
      </c>
      <c r="O103" s="7">
        <f t="shared" si="7"/>
        <v>17.224999999999998</v>
      </c>
      <c r="P103" s="7">
        <f t="shared" si="16"/>
        <v>16.5625</v>
      </c>
      <c r="R103" s="7">
        <f t="shared" si="9"/>
        <v>35.774999999999999</v>
      </c>
      <c r="S103" s="7">
        <f t="shared" si="10"/>
        <v>34.449999999999996</v>
      </c>
      <c r="T103" s="7">
        <f t="shared" si="17"/>
        <v>33.125</v>
      </c>
    </row>
    <row r="104" spans="1:20" s="7" customFormat="1" x14ac:dyDescent="0.2">
      <c r="A104" s="7" t="s">
        <v>204</v>
      </c>
      <c r="C104" s="7" t="s">
        <v>105</v>
      </c>
      <c r="D104" s="7">
        <v>335</v>
      </c>
      <c r="E104" s="7">
        <v>100</v>
      </c>
      <c r="F104" s="8">
        <f t="shared" si="12"/>
        <v>13.567500000000003</v>
      </c>
      <c r="G104" s="8">
        <f t="shared" si="13"/>
        <v>21.775000000000002</v>
      </c>
      <c r="H104" s="8">
        <f t="shared" si="14"/>
        <v>41.875</v>
      </c>
      <c r="J104" s="7">
        <f t="shared" ref="J104:J167" si="18">(($D104/$E104)*1.35)*$J$1</f>
        <v>13.567500000000003</v>
      </c>
      <c r="K104" s="7">
        <f t="shared" ref="K104:K167" si="19">(($D104/$E104)*1.3)*$K$1</f>
        <v>13.065000000000001</v>
      </c>
      <c r="L104" s="7">
        <f t="shared" si="15"/>
        <v>12.5625</v>
      </c>
      <c r="N104" s="7">
        <f t="shared" ref="N104:N167" si="20">(($D104/$E104)*1.35)*$P$1</f>
        <v>22.612500000000004</v>
      </c>
      <c r="O104" s="7">
        <f t="shared" ref="O104:O167" si="21">(($D104/$E104)*1.3)*$P$1</f>
        <v>21.775000000000002</v>
      </c>
      <c r="P104" s="7">
        <f t="shared" si="16"/>
        <v>20.9375</v>
      </c>
      <c r="R104" s="7">
        <f t="shared" ref="R104:R167" si="22">(($D104/$E104)*1.35)*$T$1</f>
        <v>45.225000000000009</v>
      </c>
      <c r="S104" s="7">
        <f t="shared" ref="S104:S167" si="23">(($D104/$E104)*1.3)*$T$1</f>
        <v>43.550000000000004</v>
      </c>
      <c r="T104" s="7">
        <f t="shared" si="17"/>
        <v>41.875</v>
      </c>
    </row>
    <row r="105" spans="1:20" s="7" customFormat="1" x14ac:dyDescent="0.2">
      <c r="A105" s="7" t="s">
        <v>190</v>
      </c>
      <c r="C105" s="7" t="s">
        <v>106</v>
      </c>
      <c r="D105" s="7">
        <v>335</v>
      </c>
      <c r="E105" s="7">
        <v>100</v>
      </c>
      <c r="F105" s="8">
        <f t="shared" si="12"/>
        <v>13.567500000000003</v>
      </c>
      <c r="G105" s="8">
        <f t="shared" si="13"/>
        <v>21.775000000000002</v>
      </c>
      <c r="H105" s="8">
        <f t="shared" si="14"/>
        <v>41.875</v>
      </c>
      <c r="J105" s="7">
        <f t="shared" si="18"/>
        <v>13.567500000000003</v>
      </c>
      <c r="K105" s="7">
        <f t="shared" si="19"/>
        <v>13.065000000000001</v>
      </c>
      <c r="L105" s="7">
        <f t="shared" si="15"/>
        <v>12.5625</v>
      </c>
      <c r="N105" s="7">
        <f t="shared" si="20"/>
        <v>22.612500000000004</v>
      </c>
      <c r="O105" s="7">
        <f t="shared" si="21"/>
        <v>21.775000000000002</v>
      </c>
      <c r="P105" s="7">
        <f t="shared" si="16"/>
        <v>20.9375</v>
      </c>
      <c r="R105" s="7">
        <f t="shared" si="22"/>
        <v>45.225000000000009</v>
      </c>
      <c r="S105" s="7">
        <f t="shared" si="23"/>
        <v>43.550000000000004</v>
      </c>
      <c r="T105" s="7">
        <f t="shared" si="17"/>
        <v>41.875</v>
      </c>
    </row>
    <row r="106" spans="1:20" s="7" customFormat="1" x14ac:dyDescent="0.2">
      <c r="A106" s="7" t="s">
        <v>205</v>
      </c>
      <c r="C106" s="7" t="s">
        <v>107</v>
      </c>
      <c r="D106" s="7">
        <v>185</v>
      </c>
      <c r="E106" s="7">
        <v>100</v>
      </c>
      <c r="F106" s="8">
        <f t="shared" si="12"/>
        <v>7.4925000000000015</v>
      </c>
      <c r="G106" s="8">
        <f t="shared" si="13"/>
        <v>12.025000000000002</v>
      </c>
      <c r="H106" s="8">
        <f t="shared" si="14"/>
        <v>23.125</v>
      </c>
      <c r="J106" s="7">
        <f t="shared" si="18"/>
        <v>7.4925000000000015</v>
      </c>
      <c r="K106" s="7">
        <f t="shared" si="19"/>
        <v>7.2150000000000007</v>
      </c>
      <c r="L106" s="7">
        <f t="shared" si="15"/>
        <v>6.9375</v>
      </c>
      <c r="N106" s="7">
        <f t="shared" si="20"/>
        <v>12.487500000000002</v>
      </c>
      <c r="O106" s="7">
        <f t="shared" si="21"/>
        <v>12.025000000000002</v>
      </c>
      <c r="P106" s="7">
        <f t="shared" si="16"/>
        <v>11.5625</v>
      </c>
      <c r="R106" s="7">
        <f t="shared" si="22"/>
        <v>24.975000000000005</v>
      </c>
      <c r="S106" s="7">
        <f t="shared" si="23"/>
        <v>24.050000000000004</v>
      </c>
      <c r="T106" s="7">
        <f t="shared" si="17"/>
        <v>23.125</v>
      </c>
    </row>
    <row r="107" spans="1:20" s="7" customFormat="1" x14ac:dyDescent="0.2">
      <c r="A107" s="7" t="s">
        <v>175</v>
      </c>
      <c r="C107" s="7" t="s">
        <v>108</v>
      </c>
      <c r="D107" s="7">
        <v>275</v>
      </c>
      <c r="E107" s="7">
        <v>75</v>
      </c>
      <c r="F107" s="8">
        <f t="shared" si="12"/>
        <v>14.850000000000001</v>
      </c>
      <c r="G107" s="8">
        <f t="shared" si="13"/>
        <v>23.833333333333332</v>
      </c>
      <c r="H107" s="8">
        <f t="shared" si="14"/>
        <v>45.833333333333329</v>
      </c>
      <c r="J107" s="7">
        <f t="shared" si="18"/>
        <v>14.850000000000001</v>
      </c>
      <c r="K107" s="7">
        <f t="shared" si="19"/>
        <v>14.3</v>
      </c>
      <c r="L107" s="7">
        <f t="shared" si="15"/>
        <v>13.75</v>
      </c>
      <c r="N107" s="7">
        <f t="shared" si="20"/>
        <v>24.75</v>
      </c>
      <c r="O107" s="7">
        <f t="shared" si="21"/>
        <v>23.833333333333332</v>
      </c>
      <c r="P107" s="7">
        <f t="shared" si="16"/>
        <v>22.916666666666664</v>
      </c>
      <c r="R107" s="7">
        <f t="shared" si="22"/>
        <v>49.5</v>
      </c>
      <c r="S107" s="7">
        <f t="shared" si="23"/>
        <v>47.666666666666664</v>
      </c>
      <c r="T107" s="7">
        <f t="shared" si="17"/>
        <v>45.833333333333329</v>
      </c>
    </row>
    <row r="108" spans="1:20" s="7" customFormat="1" x14ac:dyDescent="0.2">
      <c r="A108" s="7" t="s">
        <v>206</v>
      </c>
      <c r="C108" s="7" t="s">
        <v>109</v>
      </c>
      <c r="D108" s="7">
        <v>155</v>
      </c>
      <c r="E108" s="7">
        <v>100</v>
      </c>
      <c r="F108" s="8">
        <f t="shared" si="12"/>
        <v>6.2775000000000007</v>
      </c>
      <c r="G108" s="8">
        <f t="shared" si="13"/>
        <v>10.075000000000001</v>
      </c>
      <c r="H108" s="8">
        <f t="shared" si="14"/>
        <v>19.375</v>
      </c>
      <c r="J108" s="7">
        <f t="shared" si="18"/>
        <v>6.2775000000000007</v>
      </c>
      <c r="K108" s="7">
        <f t="shared" si="19"/>
        <v>6.0449999999999999</v>
      </c>
      <c r="L108" s="7">
        <f t="shared" si="15"/>
        <v>5.8125</v>
      </c>
      <c r="N108" s="7">
        <f t="shared" si="20"/>
        <v>10.462500000000002</v>
      </c>
      <c r="O108" s="7">
        <f t="shared" si="21"/>
        <v>10.075000000000001</v>
      </c>
      <c r="P108" s="7">
        <f t="shared" si="16"/>
        <v>9.6875</v>
      </c>
      <c r="R108" s="7">
        <f t="shared" si="22"/>
        <v>20.925000000000004</v>
      </c>
      <c r="S108" s="7">
        <f t="shared" si="23"/>
        <v>20.150000000000002</v>
      </c>
      <c r="T108" s="7">
        <f t="shared" si="17"/>
        <v>19.375</v>
      </c>
    </row>
    <row r="109" spans="1:20" s="7" customFormat="1" x14ac:dyDescent="0.2">
      <c r="A109" s="7" t="s">
        <v>207</v>
      </c>
      <c r="C109" s="7" t="s">
        <v>110</v>
      </c>
      <c r="D109" s="7">
        <v>85</v>
      </c>
      <c r="E109" s="7">
        <v>100</v>
      </c>
      <c r="F109" s="8">
        <f t="shared" si="12"/>
        <v>3.4424999999999999</v>
      </c>
      <c r="G109" s="8">
        <f t="shared" si="13"/>
        <v>5.5250000000000004</v>
      </c>
      <c r="H109" s="8">
        <f t="shared" si="14"/>
        <v>10.625</v>
      </c>
      <c r="J109" s="7">
        <f t="shared" si="18"/>
        <v>3.4424999999999999</v>
      </c>
      <c r="K109" s="7">
        <f t="shared" si="19"/>
        <v>3.3149999999999999</v>
      </c>
      <c r="L109" s="7">
        <f t="shared" si="15"/>
        <v>3.1875</v>
      </c>
      <c r="N109" s="7">
        <f t="shared" si="20"/>
        <v>5.7374999999999998</v>
      </c>
      <c r="O109" s="7">
        <f t="shared" si="21"/>
        <v>5.5250000000000004</v>
      </c>
      <c r="P109" s="7">
        <f t="shared" si="16"/>
        <v>5.3125</v>
      </c>
      <c r="R109" s="7">
        <f t="shared" si="22"/>
        <v>11.475</v>
      </c>
      <c r="S109" s="7">
        <f t="shared" si="23"/>
        <v>11.05</v>
      </c>
      <c r="T109" s="7">
        <f t="shared" si="17"/>
        <v>10.625</v>
      </c>
    </row>
    <row r="110" spans="1:20" s="7" customFormat="1" x14ac:dyDescent="0.2">
      <c r="A110" s="7" t="s">
        <v>187</v>
      </c>
      <c r="C110" s="7" t="s">
        <v>111</v>
      </c>
      <c r="D110" s="7">
        <v>185</v>
      </c>
      <c r="E110" s="7">
        <v>70</v>
      </c>
      <c r="F110" s="8">
        <f t="shared" si="12"/>
        <v>10.703571428571429</v>
      </c>
      <c r="G110" s="8">
        <f t="shared" si="13"/>
        <v>17.178571428571431</v>
      </c>
      <c r="H110" s="8">
        <f t="shared" si="14"/>
        <v>33.035714285714285</v>
      </c>
      <c r="J110" s="7">
        <f t="shared" si="18"/>
        <v>10.703571428571429</v>
      </c>
      <c r="K110" s="7">
        <f t="shared" si="19"/>
        <v>10.307142857142857</v>
      </c>
      <c r="L110" s="7">
        <f t="shared" si="15"/>
        <v>9.9107142857142847</v>
      </c>
      <c r="N110" s="7">
        <f t="shared" si="20"/>
        <v>17.839285714285715</v>
      </c>
      <c r="O110" s="7">
        <f t="shared" si="21"/>
        <v>17.178571428571431</v>
      </c>
      <c r="P110" s="7">
        <f t="shared" si="16"/>
        <v>16.517857142857142</v>
      </c>
      <c r="R110" s="7">
        <f t="shared" si="22"/>
        <v>35.678571428571431</v>
      </c>
      <c r="S110" s="7">
        <f t="shared" si="23"/>
        <v>34.357142857142861</v>
      </c>
      <c r="T110" s="7">
        <f t="shared" si="17"/>
        <v>33.035714285714285</v>
      </c>
    </row>
    <row r="111" spans="1:20" s="7" customFormat="1" x14ac:dyDescent="0.2">
      <c r="A111" s="7" t="s">
        <v>191</v>
      </c>
      <c r="C111" s="7" t="s">
        <v>112</v>
      </c>
      <c r="D111" s="7">
        <v>370</v>
      </c>
      <c r="E111" s="7">
        <v>100</v>
      </c>
      <c r="F111" s="8">
        <f t="shared" si="12"/>
        <v>14.985000000000003</v>
      </c>
      <c r="G111" s="8">
        <f t="shared" si="13"/>
        <v>24.050000000000004</v>
      </c>
      <c r="H111" s="8">
        <f t="shared" si="14"/>
        <v>46.25</v>
      </c>
      <c r="J111" s="7">
        <f t="shared" si="18"/>
        <v>14.985000000000003</v>
      </c>
      <c r="K111" s="7">
        <f t="shared" si="19"/>
        <v>14.430000000000001</v>
      </c>
      <c r="L111" s="7">
        <f t="shared" si="15"/>
        <v>13.875</v>
      </c>
      <c r="N111" s="7">
        <f t="shared" si="20"/>
        <v>24.975000000000005</v>
      </c>
      <c r="O111" s="7">
        <f t="shared" si="21"/>
        <v>24.050000000000004</v>
      </c>
      <c r="P111" s="7">
        <f t="shared" si="16"/>
        <v>23.125</v>
      </c>
      <c r="R111" s="7">
        <f t="shared" si="22"/>
        <v>49.95000000000001</v>
      </c>
      <c r="S111" s="7">
        <f t="shared" si="23"/>
        <v>48.100000000000009</v>
      </c>
      <c r="T111" s="7">
        <f t="shared" si="17"/>
        <v>46.25</v>
      </c>
    </row>
    <row r="112" spans="1:20" s="7" customFormat="1" x14ac:dyDescent="0.2">
      <c r="A112" s="7" t="s">
        <v>208</v>
      </c>
      <c r="C112" s="7" t="s">
        <v>113</v>
      </c>
      <c r="D112" s="7">
        <v>170</v>
      </c>
      <c r="E112" s="7">
        <v>75</v>
      </c>
      <c r="F112" s="8">
        <f t="shared" si="12"/>
        <v>9.18</v>
      </c>
      <c r="G112" s="8">
        <f t="shared" si="13"/>
        <v>14.733333333333334</v>
      </c>
      <c r="H112" s="8">
        <f t="shared" si="14"/>
        <v>28.333333333333329</v>
      </c>
      <c r="J112" s="7">
        <f t="shared" si="18"/>
        <v>9.18</v>
      </c>
      <c r="K112" s="7">
        <f t="shared" si="19"/>
        <v>8.84</v>
      </c>
      <c r="L112" s="7">
        <f t="shared" si="15"/>
        <v>8.5</v>
      </c>
      <c r="N112" s="7">
        <f t="shared" si="20"/>
        <v>15.3</v>
      </c>
      <c r="O112" s="7">
        <f t="shared" si="21"/>
        <v>14.733333333333334</v>
      </c>
      <c r="P112" s="7">
        <f t="shared" si="16"/>
        <v>14.166666666666664</v>
      </c>
      <c r="R112" s="7">
        <f t="shared" si="22"/>
        <v>30.6</v>
      </c>
      <c r="S112" s="7">
        <f t="shared" si="23"/>
        <v>29.466666666666669</v>
      </c>
      <c r="T112" s="7">
        <f t="shared" si="17"/>
        <v>28.333333333333329</v>
      </c>
    </row>
    <row r="113" spans="1:20" s="7" customFormat="1" x14ac:dyDescent="0.2">
      <c r="A113" s="7" t="s">
        <v>178</v>
      </c>
      <c r="C113" s="7" t="s">
        <v>114</v>
      </c>
      <c r="D113" s="7">
        <v>200</v>
      </c>
      <c r="E113" s="7">
        <v>100</v>
      </c>
      <c r="F113" s="8">
        <f t="shared" si="12"/>
        <v>8.1000000000000014</v>
      </c>
      <c r="G113" s="8">
        <f t="shared" si="13"/>
        <v>13</v>
      </c>
      <c r="H113" s="8">
        <f t="shared" si="14"/>
        <v>25</v>
      </c>
      <c r="J113" s="7">
        <f t="shared" si="18"/>
        <v>8.1000000000000014</v>
      </c>
      <c r="K113" s="7">
        <f t="shared" si="19"/>
        <v>7.8000000000000007</v>
      </c>
      <c r="L113" s="7">
        <f t="shared" si="15"/>
        <v>7.5</v>
      </c>
      <c r="N113" s="7">
        <f t="shared" si="20"/>
        <v>13.5</v>
      </c>
      <c r="O113" s="7">
        <f t="shared" si="21"/>
        <v>13</v>
      </c>
      <c r="P113" s="7">
        <f t="shared" si="16"/>
        <v>12.5</v>
      </c>
      <c r="R113" s="7">
        <f t="shared" si="22"/>
        <v>27</v>
      </c>
      <c r="S113" s="7">
        <f t="shared" si="23"/>
        <v>26</v>
      </c>
      <c r="T113" s="7">
        <f t="shared" si="17"/>
        <v>25</v>
      </c>
    </row>
    <row r="114" spans="1:20" s="7" customFormat="1" x14ac:dyDescent="0.2">
      <c r="A114" s="7" t="s">
        <v>171</v>
      </c>
      <c r="C114" s="7" t="s">
        <v>115</v>
      </c>
      <c r="D114" s="7">
        <v>180</v>
      </c>
      <c r="E114" s="7">
        <v>50</v>
      </c>
      <c r="F114" s="8">
        <f t="shared" si="12"/>
        <v>14.580000000000002</v>
      </c>
      <c r="G114" s="8">
        <f t="shared" si="13"/>
        <v>23.400000000000002</v>
      </c>
      <c r="H114" s="8">
        <f t="shared" si="14"/>
        <v>45</v>
      </c>
      <c r="J114" s="7">
        <f t="shared" si="18"/>
        <v>14.580000000000002</v>
      </c>
      <c r="K114" s="7">
        <f t="shared" si="19"/>
        <v>14.040000000000003</v>
      </c>
      <c r="L114" s="7">
        <f t="shared" si="15"/>
        <v>13.5</v>
      </c>
      <c r="N114" s="7">
        <f t="shared" si="20"/>
        <v>24.3</v>
      </c>
      <c r="O114" s="7">
        <f t="shared" si="21"/>
        <v>23.400000000000002</v>
      </c>
      <c r="P114" s="7">
        <f t="shared" si="16"/>
        <v>22.5</v>
      </c>
      <c r="R114" s="7">
        <f t="shared" si="22"/>
        <v>48.6</v>
      </c>
      <c r="S114" s="7">
        <f t="shared" si="23"/>
        <v>46.800000000000004</v>
      </c>
      <c r="T114" s="7">
        <f t="shared" si="17"/>
        <v>45</v>
      </c>
    </row>
    <row r="115" spans="1:20" s="7" customFormat="1" x14ac:dyDescent="0.2">
      <c r="A115" s="7" t="s">
        <v>171</v>
      </c>
      <c r="C115" s="7" t="s">
        <v>209</v>
      </c>
      <c r="D115" s="7">
        <v>240</v>
      </c>
      <c r="E115" s="7">
        <v>100</v>
      </c>
      <c r="F115" s="8">
        <f t="shared" si="12"/>
        <v>9.7200000000000006</v>
      </c>
      <c r="G115" s="8">
        <f t="shared" si="13"/>
        <v>15.600000000000001</v>
      </c>
      <c r="H115" s="8">
        <f t="shared" si="14"/>
        <v>30</v>
      </c>
      <c r="J115" s="7">
        <f t="shared" si="18"/>
        <v>9.7200000000000006</v>
      </c>
      <c r="K115" s="7">
        <f t="shared" si="19"/>
        <v>9.36</v>
      </c>
      <c r="L115" s="7">
        <f t="shared" si="15"/>
        <v>9</v>
      </c>
      <c r="N115" s="7">
        <f t="shared" si="20"/>
        <v>16.200000000000003</v>
      </c>
      <c r="O115" s="7">
        <f t="shared" si="21"/>
        <v>15.600000000000001</v>
      </c>
      <c r="P115" s="7">
        <f t="shared" si="16"/>
        <v>15</v>
      </c>
      <c r="R115" s="7">
        <f t="shared" si="22"/>
        <v>32.400000000000006</v>
      </c>
      <c r="S115" s="7">
        <f t="shared" si="23"/>
        <v>31.200000000000003</v>
      </c>
      <c r="T115" s="7">
        <f t="shared" si="17"/>
        <v>30</v>
      </c>
    </row>
    <row r="116" spans="1:20" s="7" customFormat="1" x14ac:dyDescent="0.2">
      <c r="A116" s="7" t="s">
        <v>168</v>
      </c>
      <c r="C116" s="7" t="s">
        <v>116</v>
      </c>
      <c r="D116" s="7">
        <v>190</v>
      </c>
      <c r="E116" s="7">
        <v>100</v>
      </c>
      <c r="F116" s="8">
        <f t="shared" si="12"/>
        <v>7.6950000000000003</v>
      </c>
      <c r="G116" s="8">
        <f t="shared" si="13"/>
        <v>12.349999999999998</v>
      </c>
      <c r="H116" s="8">
        <f t="shared" si="14"/>
        <v>23.75</v>
      </c>
      <c r="J116" s="7">
        <f t="shared" si="18"/>
        <v>7.6950000000000003</v>
      </c>
      <c r="K116" s="7">
        <f t="shared" si="19"/>
        <v>7.4099999999999993</v>
      </c>
      <c r="L116" s="7">
        <f t="shared" si="15"/>
        <v>7.125</v>
      </c>
      <c r="N116" s="7">
        <f t="shared" si="20"/>
        <v>12.824999999999999</v>
      </c>
      <c r="O116" s="7">
        <f t="shared" si="21"/>
        <v>12.349999999999998</v>
      </c>
      <c r="P116" s="7">
        <f t="shared" si="16"/>
        <v>11.875</v>
      </c>
      <c r="R116" s="7">
        <f t="shared" si="22"/>
        <v>25.65</v>
      </c>
      <c r="S116" s="7">
        <f t="shared" si="23"/>
        <v>24.699999999999996</v>
      </c>
      <c r="T116" s="7">
        <f t="shared" si="17"/>
        <v>23.75</v>
      </c>
    </row>
    <row r="117" spans="1:20" s="7" customFormat="1" x14ac:dyDescent="0.2">
      <c r="A117" s="7" t="s">
        <v>175</v>
      </c>
      <c r="C117" s="7" t="s">
        <v>117</v>
      </c>
      <c r="D117" s="7">
        <v>300</v>
      </c>
      <c r="E117" s="7">
        <v>125</v>
      </c>
      <c r="F117" s="8">
        <f t="shared" si="12"/>
        <v>9.7200000000000006</v>
      </c>
      <c r="G117" s="8">
        <f t="shared" si="13"/>
        <v>15.600000000000001</v>
      </c>
      <c r="H117" s="8">
        <f t="shared" si="14"/>
        <v>30</v>
      </c>
      <c r="J117" s="7">
        <f t="shared" si="18"/>
        <v>9.7200000000000006</v>
      </c>
      <c r="K117" s="7">
        <f t="shared" si="19"/>
        <v>9.36</v>
      </c>
      <c r="L117" s="7">
        <f t="shared" si="15"/>
        <v>9</v>
      </c>
      <c r="N117" s="7">
        <f t="shared" si="20"/>
        <v>16.200000000000003</v>
      </c>
      <c r="O117" s="7">
        <f t="shared" si="21"/>
        <v>15.600000000000001</v>
      </c>
      <c r="P117" s="7">
        <f t="shared" si="16"/>
        <v>15</v>
      </c>
      <c r="R117" s="7">
        <f t="shared" si="22"/>
        <v>32.400000000000006</v>
      </c>
      <c r="S117" s="7">
        <f t="shared" si="23"/>
        <v>31.200000000000003</v>
      </c>
      <c r="T117" s="7">
        <f t="shared" si="17"/>
        <v>30</v>
      </c>
    </row>
    <row r="118" spans="1:20" s="7" customFormat="1" x14ac:dyDescent="0.2">
      <c r="A118" s="7" t="s">
        <v>210</v>
      </c>
      <c r="C118" s="7" t="s">
        <v>118</v>
      </c>
      <c r="D118" s="7">
        <v>300</v>
      </c>
      <c r="E118" s="7">
        <v>125</v>
      </c>
      <c r="F118" s="8">
        <f t="shared" si="12"/>
        <v>9.7200000000000006</v>
      </c>
      <c r="G118" s="8">
        <f t="shared" si="13"/>
        <v>15.600000000000001</v>
      </c>
      <c r="H118" s="8">
        <f t="shared" si="14"/>
        <v>30</v>
      </c>
      <c r="J118" s="7">
        <f t="shared" si="18"/>
        <v>9.7200000000000006</v>
      </c>
      <c r="K118" s="7">
        <f t="shared" si="19"/>
        <v>9.36</v>
      </c>
      <c r="L118" s="7">
        <f t="shared" si="15"/>
        <v>9</v>
      </c>
      <c r="N118" s="7">
        <f t="shared" si="20"/>
        <v>16.200000000000003</v>
      </c>
      <c r="O118" s="7">
        <f t="shared" si="21"/>
        <v>15.600000000000001</v>
      </c>
      <c r="P118" s="7">
        <f t="shared" si="16"/>
        <v>15</v>
      </c>
      <c r="R118" s="7">
        <f t="shared" si="22"/>
        <v>32.400000000000006</v>
      </c>
      <c r="S118" s="7">
        <f t="shared" si="23"/>
        <v>31.200000000000003</v>
      </c>
      <c r="T118" s="7">
        <f t="shared" si="17"/>
        <v>30</v>
      </c>
    </row>
    <row r="119" spans="1:20" s="7" customFormat="1" x14ac:dyDescent="0.2">
      <c r="A119" s="7" t="s">
        <v>171</v>
      </c>
      <c r="C119" s="7" t="s">
        <v>119</v>
      </c>
      <c r="D119" s="7">
        <v>190</v>
      </c>
      <c r="E119" s="7">
        <v>100</v>
      </c>
      <c r="F119" s="8">
        <f t="shared" si="12"/>
        <v>7.6950000000000003</v>
      </c>
      <c r="G119" s="8">
        <f t="shared" si="13"/>
        <v>12.349999999999998</v>
      </c>
      <c r="H119" s="8">
        <f t="shared" si="14"/>
        <v>23.75</v>
      </c>
      <c r="J119" s="7">
        <f t="shared" si="18"/>
        <v>7.6950000000000003</v>
      </c>
      <c r="K119" s="7">
        <f t="shared" si="19"/>
        <v>7.4099999999999993</v>
      </c>
      <c r="L119" s="7">
        <f t="shared" si="15"/>
        <v>7.125</v>
      </c>
      <c r="N119" s="7">
        <f t="shared" si="20"/>
        <v>12.824999999999999</v>
      </c>
      <c r="O119" s="7">
        <f t="shared" si="21"/>
        <v>12.349999999999998</v>
      </c>
      <c r="P119" s="7">
        <f t="shared" si="16"/>
        <v>11.875</v>
      </c>
      <c r="R119" s="7">
        <f t="shared" si="22"/>
        <v>25.65</v>
      </c>
      <c r="S119" s="7">
        <f t="shared" si="23"/>
        <v>24.699999999999996</v>
      </c>
      <c r="T119" s="7">
        <f t="shared" si="17"/>
        <v>23.75</v>
      </c>
    </row>
    <row r="120" spans="1:20" s="7" customFormat="1" x14ac:dyDescent="0.2">
      <c r="A120" s="7" t="s">
        <v>170</v>
      </c>
      <c r="C120" s="7" t="s">
        <v>120</v>
      </c>
      <c r="D120" s="7">
        <v>270</v>
      </c>
      <c r="E120" s="7">
        <v>90</v>
      </c>
      <c r="F120" s="8">
        <f t="shared" si="12"/>
        <v>12.150000000000002</v>
      </c>
      <c r="G120" s="8">
        <f t="shared" si="13"/>
        <v>19.5</v>
      </c>
      <c r="H120" s="8">
        <f t="shared" si="14"/>
        <v>37.5</v>
      </c>
      <c r="J120" s="7">
        <f t="shared" si="18"/>
        <v>12.150000000000002</v>
      </c>
      <c r="K120" s="7">
        <f t="shared" si="19"/>
        <v>11.700000000000001</v>
      </c>
      <c r="L120" s="7">
        <f t="shared" si="15"/>
        <v>11.25</v>
      </c>
      <c r="N120" s="7">
        <f t="shared" si="20"/>
        <v>20.250000000000004</v>
      </c>
      <c r="O120" s="7">
        <f t="shared" si="21"/>
        <v>19.5</v>
      </c>
      <c r="P120" s="7">
        <f t="shared" si="16"/>
        <v>18.75</v>
      </c>
      <c r="R120" s="7">
        <f t="shared" si="22"/>
        <v>40.500000000000007</v>
      </c>
      <c r="S120" s="7">
        <f t="shared" si="23"/>
        <v>39</v>
      </c>
      <c r="T120" s="7">
        <f t="shared" si="17"/>
        <v>37.5</v>
      </c>
    </row>
    <row r="121" spans="1:20" s="7" customFormat="1" x14ac:dyDescent="0.2">
      <c r="A121" s="7" t="s">
        <v>211</v>
      </c>
      <c r="C121" s="7" t="s">
        <v>121</v>
      </c>
      <c r="D121" s="7">
        <v>290</v>
      </c>
      <c r="E121" s="7">
        <v>125</v>
      </c>
      <c r="F121" s="8">
        <f t="shared" si="12"/>
        <v>9.3960000000000008</v>
      </c>
      <c r="G121" s="8">
        <f t="shared" si="13"/>
        <v>15.08</v>
      </c>
      <c r="H121" s="8">
        <f t="shared" si="14"/>
        <v>29</v>
      </c>
      <c r="J121" s="7">
        <f t="shared" si="18"/>
        <v>9.3960000000000008</v>
      </c>
      <c r="K121" s="7">
        <f t="shared" si="19"/>
        <v>9.048</v>
      </c>
      <c r="L121" s="7">
        <f t="shared" si="15"/>
        <v>8.6999999999999993</v>
      </c>
      <c r="N121" s="7">
        <f t="shared" si="20"/>
        <v>15.66</v>
      </c>
      <c r="O121" s="7">
        <f t="shared" si="21"/>
        <v>15.08</v>
      </c>
      <c r="P121" s="7">
        <f t="shared" si="16"/>
        <v>14.5</v>
      </c>
      <c r="R121" s="7">
        <f t="shared" si="22"/>
        <v>31.32</v>
      </c>
      <c r="S121" s="7">
        <f t="shared" si="23"/>
        <v>30.16</v>
      </c>
      <c r="T121" s="7">
        <f t="shared" si="17"/>
        <v>29</v>
      </c>
    </row>
    <row r="122" spans="1:20" s="7" customFormat="1" x14ac:dyDescent="0.2">
      <c r="A122" s="7" t="s">
        <v>203</v>
      </c>
      <c r="C122" s="7" t="s">
        <v>122</v>
      </c>
      <c r="D122" s="7">
        <v>149</v>
      </c>
      <c r="E122" s="7">
        <v>100</v>
      </c>
      <c r="F122" s="8">
        <f t="shared" si="12"/>
        <v>6.0345000000000013</v>
      </c>
      <c r="G122" s="8">
        <f t="shared" si="13"/>
        <v>9.6850000000000005</v>
      </c>
      <c r="H122" s="8">
        <f t="shared" si="14"/>
        <v>18.625</v>
      </c>
      <c r="J122" s="7">
        <f t="shared" si="18"/>
        <v>6.0345000000000013</v>
      </c>
      <c r="K122" s="7">
        <f t="shared" si="19"/>
        <v>5.8109999999999999</v>
      </c>
      <c r="L122" s="7">
        <f t="shared" si="15"/>
        <v>5.5875000000000004</v>
      </c>
      <c r="N122" s="7">
        <f t="shared" si="20"/>
        <v>10.057500000000001</v>
      </c>
      <c r="O122" s="7">
        <f t="shared" si="21"/>
        <v>9.6850000000000005</v>
      </c>
      <c r="P122" s="7">
        <f t="shared" si="16"/>
        <v>9.3125</v>
      </c>
      <c r="R122" s="7">
        <f t="shared" si="22"/>
        <v>20.115000000000002</v>
      </c>
      <c r="S122" s="7">
        <f t="shared" si="23"/>
        <v>19.37</v>
      </c>
      <c r="T122" s="7">
        <f t="shared" si="17"/>
        <v>18.625</v>
      </c>
    </row>
    <row r="123" spans="1:20" s="7" customFormat="1" x14ac:dyDescent="0.2">
      <c r="A123" s="7" t="s">
        <v>203</v>
      </c>
      <c r="C123" s="7" t="s">
        <v>123</v>
      </c>
      <c r="D123" s="7">
        <v>140</v>
      </c>
      <c r="E123" s="7">
        <v>50</v>
      </c>
      <c r="F123" s="8">
        <f t="shared" si="12"/>
        <v>11.34</v>
      </c>
      <c r="G123" s="8">
        <f t="shared" si="13"/>
        <v>18.2</v>
      </c>
      <c r="H123" s="8">
        <f t="shared" si="14"/>
        <v>35</v>
      </c>
      <c r="J123" s="7">
        <f t="shared" si="18"/>
        <v>11.34</v>
      </c>
      <c r="K123" s="7">
        <f t="shared" si="19"/>
        <v>10.919999999999998</v>
      </c>
      <c r="L123" s="7">
        <f t="shared" si="15"/>
        <v>10.5</v>
      </c>
      <c r="N123" s="7">
        <f t="shared" si="20"/>
        <v>18.899999999999999</v>
      </c>
      <c r="O123" s="7">
        <f t="shared" si="21"/>
        <v>18.2</v>
      </c>
      <c r="P123" s="7">
        <f t="shared" si="16"/>
        <v>17.5</v>
      </c>
      <c r="R123" s="7">
        <f t="shared" si="22"/>
        <v>37.799999999999997</v>
      </c>
      <c r="S123" s="7">
        <f t="shared" si="23"/>
        <v>36.4</v>
      </c>
      <c r="T123" s="7">
        <f t="shared" si="17"/>
        <v>35</v>
      </c>
    </row>
    <row r="124" spans="1:20" s="7" customFormat="1" x14ac:dyDescent="0.2">
      <c r="A124" s="7" t="s">
        <v>168</v>
      </c>
      <c r="C124" s="7" t="s">
        <v>124</v>
      </c>
      <c r="D124" s="7">
        <v>245</v>
      </c>
      <c r="E124" s="7">
        <v>70</v>
      </c>
      <c r="F124" s="8">
        <f t="shared" si="12"/>
        <v>14.175000000000001</v>
      </c>
      <c r="G124" s="8">
        <f t="shared" si="13"/>
        <v>22.75</v>
      </c>
      <c r="H124" s="8">
        <f t="shared" si="14"/>
        <v>43.75</v>
      </c>
      <c r="J124" s="7">
        <f t="shared" si="18"/>
        <v>14.175000000000001</v>
      </c>
      <c r="K124" s="7">
        <f t="shared" si="19"/>
        <v>13.649999999999999</v>
      </c>
      <c r="L124" s="7">
        <f t="shared" si="15"/>
        <v>13.125</v>
      </c>
      <c r="N124" s="7">
        <f t="shared" si="20"/>
        <v>23.625000000000004</v>
      </c>
      <c r="O124" s="7">
        <f t="shared" si="21"/>
        <v>22.75</v>
      </c>
      <c r="P124" s="7">
        <f t="shared" si="16"/>
        <v>21.875</v>
      </c>
      <c r="R124" s="7">
        <f t="shared" si="22"/>
        <v>47.250000000000007</v>
      </c>
      <c r="S124" s="7">
        <f t="shared" si="23"/>
        <v>45.5</v>
      </c>
      <c r="T124" s="7">
        <f t="shared" si="17"/>
        <v>43.75</v>
      </c>
    </row>
    <row r="125" spans="1:20" s="7" customFormat="1" x14ac:dyDescent="0.2">
      <c r="A125" s="7" t="s">
        <v>171</v>
      </c>
      <c r="C125" s="7" t="s">
        <v>125</v>
      </c>
      <c r="D125" s="7">
        <v>280</v>
      </c>
      <c r="E125" s="7">
        <v>100</v>
      </c>
      <c r="F125" s="8">
        <f t="shared" si="12"/>
        <v>11.34</v>
      </c>
      <c r="G125" s="8">
        <f t="shared" si="13"/>
        <v>18.2</v>
      </c>
      <c r="H125" s="8">
        <f t="shared" si="14"/>
        <v>35</v>
      </c>
      <c r="J125" s="7">
        <f t="shared" si="18"/>
        <v>11.34</v>
      </c>
      <c r="K125" s="7">
        <f t="shared" si="19"/>
        <v>10.919999999999998</v>
      </c>
      <c r="L125" s="7">
        <f t="shared" si="15"/>
        <v>10.5</v>
      </c>
      <c r="N125" s="7">
        <f t="shared" si="20"/>
        <v>18.899999999999999</v>
      </c>
      <c r="O125" s="7">
        <f t="shared" si="21"/>
        <v>18.2</v>
      </c>
      <c r="P125" s="7">
        <f t="shared" si="16"/>
        <v>17.5</v>
      </c>
      <c r="R125" s="7">
        <f t="shared" si="22"/>
        <v>37.799999999999997</v>
      </c>
      <c r="S125" s="7">
        <f t="shared" si="23"/>
        <v>36.4</v>
      </c>
      <c r="T125" s="7">
        <f t="shared" si="17"/>
        <v>35</v>
      </c>
    </row>
    <row r="126" spans="1:20" s="7" customFormat="1" x14ac:dyDescent="0.2">
      <c r="A126" s="7" t="s">
        <v>171</v>
      </c>
      <c r="C126" s="7" t="s">
        <v>126</v>
      </c>
      <c r="D126" s="7">
        <v>355</v>
      </c>
      <c r="E126" s="7">
        <v>100</v>
      </c>
      <c r="F126" s="8">
        <f t="shared" si="12"/>
        <v>14.377500000000001</v>
      </c>
      <c r="G126" s="8">
        <f t="shared" si="13"/>
        <v>23.075000000000003</v>
      </c>
      <c r="H126" s="8">
        <f t="shared" si="14"/>
        <v>44.375</v>
      </c>
      <c r="J126" s="7">
        <f t="shared" si="18"/>
        <v>14.377500000000001</v>
      </c>
      <c r="K126" s="7">
        <f t="shared" si="19"/>
        <v>13.845000000000001</v>
      </c>
      <c r="L126" s="7">
        <f t="shared" si="15"/>
        <v>13.3125</v>
      </c>
      <c r="N126" s="7">
        <f t="shared" si="20"/>
        <v>23.962500000000002</v>
      </c>
      <c r="O126" s="7">
        <f t="shared" si="21"/>
        <v>23.075000000000003</v>
      </c>
      <c r="P126" s="7">
        <f t="shared" si="16"/>
        <v>22.1875</v>
      </c>
      <c r="R126" s="7">
        <f t="shared" si="22"/>
        <v>47.925000000000004</v>
      </c>
      <c r="S126" s="7">
        <f t="shared" si="23"/>
        <v>46.150000000000006</v>
      </c>
      <c r="T126" s="7">
        <f t="shared" si="17"/>
        <v>44.375</v>
      </c>
    </row>
    <row r="127" spans="1:20" s="7" customFormat="1" x14ac:dyDescent="0.2">
      <c r="A127" s="7" t="s">
        <v>175</v>
      </c>
      <c r="C127" s="7" t="s">
        <v>127</v>
      </c>
      <c r="D127" s="7">
        <v>355</v>
      </c>
      <c r="E127" s="7">
        <v>100</v>
      </c>
      <c r="F127" s="8">
        <f t="shared" si="12"/>
        <v>14.377500000000001</v>
      </c>
      <c r="G127" s="8">
        <f t="shared" si="13"/>
        <v>23.075000000000003</v>
      </c>
      <c r="H127" s="8">
        <f t="shared" si="14"/>
        <v>44.375</v>
      </c>
      <c r="J127" s="7">
        <f t="shared" si="18"/>
        <v>14.377500000000001</v>
      </c>
      <c r="K127" s="7">
        <f t="shared" si="19"/>
        <v>13.845000000000001</v>
      </c>
      <c r="L127" s="7">
        <f t="shared" si="15"/>
        <v>13.3125</v>
      </c>
      <c r="N127" s="7">
        <f t="shared" si="20"/>
        <v>23.962500000000002</v>
      </c>
      <c r="O127" s="7">
        <f t="shared" si="21"/>
        <v>23.075000000000003</v>
      </c>
      <c r="P127" s="7">
        <f t="shared" si="16"/>
        <v>22.1875</v>
      </c>
      <c r="R127" s="7">
        <f t="shared" si="22"/>
        <v>47.925000000000004</v>
      </c>
      <c r="S127" s="7">
        <f t="shared" si="23"/>
        <v>46.150000000000006</v>
      </c>
      <c r="T127" s="7">
        <f t="shared" si="17"/>
        <v>44.375</v>
      </c>
    </row>
    <row r="128" spans="1:20" s="7" customFormat="1" x14ac:dyDescent="0.2">
      <c r="A128" s="7" t="s">
        <v>188</v>
      </c>
      <c r="C128" s="7" t="s">
        <v>128</v>
      </c>
      <c r="D128" s="7">
        <v>320</v>
      </c>
      <c r="E128" s="7">
        <v>100</v>
      </c>
      <c r="F128" s="8">
        <f t="shared" si="12"/>
        <v>12.96</v>
      </c>
      <c r="G128" s="8">
        <f t="shared" si="13"/>
        <v>20.8</v>
      </c>
      <c r="H128" s="8">
        <f t="shared" si="14"/>
        <v>40</v>
      </c>
      <c r="J128" s="7">
        <f t="shared" si="18"/>
        <v>12.96</v>
      </c>
      <c r="K128" s="7">
        <f t="shared" si="19"/>
        <v>12.48</v>
      </c>
      <c r="L128" s="7">
        <f t="shared" si="15"/>
        <v>12</v>
      </c>
      <c r="N128" s="7">
        <f t="shared" si="20"/>
        <v>21.6</v>
      </c>
      <c r="O128" s="7">
        <f t="shared" si="21"/>
        <v>20.8</v>
      </c>
      <c r="P128" s="7">
        <f t="shared" si="16"/>
        <v>20</v>
      </c>
      <c r="R128" s="7">
        <f t="shared" si="22"/>
        <v>43.2</v>
      </c>
      <c r="S128" s="7">
        <f t="shared" si="23"/>
        <v>41.6</v>
      </c>
      <c r="T128" s="7">
        <f t="shared" si="17"/>
        <v>40</v>
      </c>
    </row>
    <row r="129" spans="1:20" s="7" customFormat="1" x14ac:dyDescent="0.2">
      <c r="A129" s="7" t="s">
        <v>168</v>
      </c>
      <c r="C129" s="7" t="s">
        <v>129</v>
      </c>
      <c r="D129" s="7">
        <v>290</v>
      </c>
      <c r="E129" s="7">
        <v>125</v>
      </c>
      <c r="F129" s="8">
        <f t="shared" si="12"/>
        <v>9.3960000000000008</v>
      </c>
      <c r="G129" s="8">
        <f t="shared" si="13"/>
        <v>15.08</v>
      </c>
      <c r="H129" s="8">
        <f t="shared" si="14"/>
        <v>29</v>
      </c>
      <c r="J129" s="7">
        <f t="shared" si="18"/>
        <v>9.3960000000000008</v>
      </c>
      <c r="K129" s="7">
        <f t="shared" si="19"/>
        <v>9.048</v>
      </c>
      <c r="L129" s="7">
        <f t="shared" si="15"/>
        <v>8.6999999999999993</v>
      </c>
      <c r="N129" s="7">
        <f t="shared" si="20"/>
        <v>15.66</v>
      </c>
      <c r="O129" s="7">
        <f t="shared" si="21"/>
        <v>15.08</v>
      </c>
      <c r="P129" s="7">
        <f t="shared" si="16"/>
        <v>14.5</v>
      </c>
      <c r="R129" s="7">
        <f t="shared" si="22"/>
        <v>31.32</v>
      </c>
      <c r="S129" s="7">
        <f t="shared" si="23"/>
        <v>30.16</v>
      </c>
      <c r="T129" s="7">
        <f t="shared" si="17"/>
        <v>29</v>
      </c>
    </row>
    <row r="130" spans="1:20" s="7" customFormat="1" x14ac:dyDescent="0.2">
      <c r="A130" s="7" t="s">
        <v>170</v>
      </c>
      <c r="C130" s="7" t="s">
        <v>130</v>
      </c>
      <c r="D130" s="7">
        <v>195</v>
      </c>
      <c r="E130" s="7">
        <v>70</v>
      </c>
      <c r="F130" s="8">
        <f t="shared" si="12"/>
        <v>11.282142857142857</v>
      </c>
      <c r="G130" s="8">
        <f t="shared" si="13"/>
        <v>18.107142857142858</v>
      </c>
      <c r="H130" s="8">
        <f t="shared" si="14"/>
        <v>34.821428571428569</v>
      </c>
      <c r="J130" s="7">
        <f t="shared" si="18"/>
        <v>11.282142857142857</v>
      </c>
      <c r="K130" s="7">
        <f t="shared" si="19"/>
        <v>10.864285714285714</v>
      </c>
      <c r="L130" s="7">
        <f t="shared" si="15"/>
        <v>10.446428571428569</v>
      </c>
      <c r="N130" s="7">
        <f t="shared" si="20"/>
        <v>18.803571428571427</v>
      </c>
      <c r="O130" s="7">
        <f t="shared" si="21"/>
        <v>18.107142857142858</v>
      </c>
      <c r="P130" s="7">
        <f t="shared" si="16"/>
        <v>17.410714285714285</v>
      </c>
      <c r="R130" s="7">
        <f t="shared" si="22"/>
        <v>37.607142857142854</v>
      </c>
      <c r="S130" s="7">
        <f t="shared" si="23"/>
        <v>36.214285714285715</v>
      </c>
      <c r="T130" s="7">
        <f t="shared" si="17"/>
        <v>34.821428571428569</v>
      </c>
    </row>
    <row r="131" spans="1:20" s="7" customFormat="1" x14ac:dyDescent="0.2">
      <c r="A131" s="7" t="s">
        <v>175</v>
      </c>
      <c r="C131" s="7" t="s">
        <v>131</v>
      </c>
      <c r="D131" s="7">
        <v>300</v>
      </c>
      <c r="E131" s="7">
        <v>125</v>
      </c>
      <c r="F131" s="8">
        <f t="shared" si="12"/>
        <v>9.7200000000000006</v>
      </c>
      <c r="G131" s="8">
        <f t="shared" si="13"/>
        <v>15.600000000000001</v>
      </c>
      <c r="H131" s="8">
        <f t="shared" si="14"/>
        <v>30</v>
      </c>
      <c r="J131" s="7">
        <f t="shared" si="18"/>
        <v>9.7200000000000006</v>
      </c>
      <c r="K131" s="7">
        <f t="shared" si="19"/>
        <v>9.36</v>
      </c>
      <c r="L131" s="7">
        <f t="shared" si="15"/>
        <v>9</v>
      </c>
      <c r="N131" s="7">
        <f t="shared" si="20"/>
        <v>16.200000000000003</v>
      </c>
      <c r="O131" s="7">
        <f t="shared" si="21"/>
        <v>15.600000000000001</v>
      </c>
      <c r="P131" s="7">
        <f t="shared" si="16"/>
        <v>15</v>
      </c>
      <c r="R131" s="7">
        <f t="shared" si="22"/>
        <v>32.400000000000006</v>
      </c>
      <c r="S131" s="7">
        <f t="shared" si="23"/>
        <v>31.200000000000003</v>
      </c>
      <c r="T131" s="7">
        <f t="shared" si="17"/>
        <v>30</v>
      </c>
    </row>
    <row r="132" spans="1:20" s="7" customFormat="1" x14ac:dyDescent="0.2">
      <c r="A132" s="7" t="s">
        <v>168</v>
      </c>
      <c r="C132" s="7" t="s">
        <v>212</v>
      </c>
      <c r="D132" s="7">
        <v>295</v>
      </c>
      <c r="E132" s="7">
        <v>50</v>
      </c>
      <c r="F132" s="8">
        <f t="shared" si="12"/>
        <v>23.895000000000003</v>
      </c>
      <c r="G132" s="8">
        <f t="shared" si="13"/>
        <v>38.35</v>
      </c>
      <c r="H132" s="8">
        <f t="shared" si="14"/>
        <v>73.75</v>
      </c>
      <c r="J132" s="7">
        <f t="shared" si="18"/>
        <v>23.895000000000003</v>
      </c>
      <c r="K132" s="7">
        <f t="shared" si="19"/>
        <v>23.01</v>
      </c>
      <c r="L132" s="7">
        <f t="shared" si="15"/>
        <v>22.125</v>
      </c>
      <c r="N132" s="7">
        <f t="shared" si="20"/>
        <v>39.825000000000003</v>
      </c>
      <c r="O132" s="7">
        <f t="shared" si="21"/>
        <v>38.35</v>
      </c>
      <c r="P132" s="7">
        <f t="shared" si="16"/>
        <v>36.875</v>
      </c>
      <c r="R132" s="7">
        <f t="shared" si="22"/>
        <v>79.650000000000006</v>
      </c>
      <c r="S132" s="7">
        <f t="shared" si="23"/>
        <v>76.7</v>
      </c>
      <c r="T132" s="7">
        <f t="shared" si="17"/>
        <v>73.75</v>
      </c>
    </row>
    <row r="133" spans="1:20" s="7" customFormat="1" x14ac:dyDescent="0.2">
      <c r="A133" s="7" t="s">
        <v>178</v>
      </c>
      <c r="C133" s="7" t="s">
        <v>132</v>
      </c>
      <c r="D133" s="7">
        <v>270</v>
      </c>
      <c r="E133" s="7">
        <v>100</v>
      </c>
      <c r="F133" s="8">
        <f t="shared" si="12"/>
        <v>10.935000000000002</v>
      </c>
      <c r="G133" s="8">
        <f t="shared" si="13"/>
        <v>17.55</v>
      </c>
      <c r="H133" s="8">
        <f t="shared" si="14"/>
        <v>33.75</v>
      </c>
      <c r="J133" s="7">
        <f t="shared" si="18"/>
        <v>10.935000000000002</v>
      </c>
      <c r="K133" s="7">
        <f t="shared" si="19"/>
        <v>10.530000000000001</v>
      </c>
      <c r="L133" s="7">
        <f t="shared" si="15"/>
        <v>10.125</v>
      </c>
      <c r="N133" s="7">
        <f t="shared" si="20"/>
        <v>18.225000000000001</v>
      </c>
      <c r="O133" s="7">
        <f t="shared" si="21"/>
        <v>17.55</v>
      </c>
      <c r="P133" s="7">
        <f t="shared" si="16"/>
        <v>16.875</v>
      </c>
      <c r="R133" s="7">
        <f t="shared" si="22"/>
        <v>36.450000000000003</v>
      </c>
      <c r="S133" s="7">
        <f t="shared" si="23"/>
        <v>35.1</v>
      </c>
      <c r="T133" s="7">
        <f t="shared" si="17"/>
        <v>33.75</v>
      </c>
    </row>
    <row r="134" spans="1:20" s="7" customFormat="1" x14ac:dyDescent="0.2">
      <c r="A134" s="7" t="s">
        <v>171</v>
      </c>
      <c r="C134" s="7" t="s">
        <v>133</v>
      </c>
      <c r="D134" s="7">
        <v>290</v>
      </c>
      <c r="E134" s="7">
        <v>100</v>
      </c>
      <c r="F134" s="8">
        <f t="shared" ref="F134:F167" si="24">J134</f>
        <v>11.745000000000001</v>
      </c>
      <c r="G134" s="8">
        <f t="shared" ref="G134:G167" si="25">O134</f>
        <v>18.850000000000001</v>
      </c>
      <c r="H134" s="8">
        <f t="shared" ref="H134:H167" si="26">T134</f>
        <v>36.25</v>
      </c>
      <c r="J134" s="7">
        <f t="shared" si="18"/>
        <v>11.745000000000001</v>
      </c>
      <c r="K134" s="7">
        <f t="shared" si="19"/>
        <v>11.31</v>
      </c>
      <c r="L134" s="7">
        <f t="shared" ref="L134:L167" si="27">(($D134/$E134)*1.25)*$L$1</f>
        <v>10.875</v>
      </c>
      <c r="N134" s="7">
        <f t="shared" si="20"/>
        <v>19.574999999999999</v>
      </c>
      <c r="O134" s="7">
        <f t="shared" si="21"/>
        <v>18.850000000000001</v>
      </c>
      <c r="P134" s="7">
        <f t="shared" ref="P134:P167" si="28">(($D134/$E134)*1.25)*$P$1</f>
        <v>18.125</v>
      </c>
      <c r="R134" s="7">
        <f t="shared" si="22"/>
        <v>39.15</v>
      </c>
      <c r="S134" s="7">
        <f t="shared" si="23"/>
        <v>37.700000000000003</v>
      </c>
      <c r="T134" s="7">
        <f t="shared" ref="T134:T167" si="29">(($D134/$E134)*1.25)*$T$1</f>
        <v>36.25</v>
      </c>
    </row>
    <row r="135" spans="1:20" s="7" customFormat="1" x14ac:dyDescent="0.2">
      <c r="A135" s="7" t="s">
        <v>171</v>
      </c>
      <c r="C135" s="7" t="s">
        <v>134</v>
      </c>
      <c r="D135" s="7">
        <v>130</v>
      </c>
      <c r="E135" s="7">
        <v>50</v>
      </c>
      <c r="F135" s="8">
        <f t="shared" si="24"/>
        <v>10.530000000000001</v>
      </c>
      <c r="G135" s="8">
        <f t="shared" si="25"/>
        <v>16.900000000000002</v>
      </c>
      <c r="H135" s="8">
        <f t="shared" si="26"/>
        <v>32.5</v>
      </c>
      <c r="J135" s="7">
        <f t="shared" si="18"/>
        <v>10.530000000000001</v>
      </c>
      <c r="K135" s="7">
        <f t="shared" si="19"/>
        <v>10.14</v>
      </c>
      <c r="L135" s="7">
        <f t="shared" si="27"/>
        <v>9.75</v>
      </c>
      <c r="N135" s="7">
        <f t="shared" si="20"/>
        <v>17.55</v>
      </c>
      <c r="O135" s="7">
        <f t="shared" si="21"/>
        <v>16.900000000000002</v>
      </c>
      <c r="P135" s="7">
        <f t="shared" si="28"/>
        <v>16.25</v>
      </c>
      <c r="R135" s="7">
        <f t="shared" si="22"/>
        <v>35.1</v>
      </c>
      <c r="S135" s="7">
        <f t="shared" si="23"/>
        <v>33.800000000000004</v>
      </c>
      <c r="T135" s="7">
        <f t="shared" si="29"/>
        <v>32.5</v>
      </c>
    </row>
    <row r="136" spans="1:20" s="7" customFormat="1" x14ac:dyDescent="0.2">
      <c r="A136" s="7" t="s">
        <v>183</v>
      </c>
      <c r="C136" s="7" t="s">
        <v>135</v>
      </c>
      <c r="D136" s="7">
        <v>255</v>
      </c>
      <c r="E136" s="7">
        <v>100</v>
      </c>
      <c r="F136" s="8">
        <f t="shared" si="24"/>
        <v>10.327500000000001</v>
      </c>
      <c r="G136" s="8">
        <f t="shared" si="25"/>
        <v>16.574999999999999</v>
      </c>
      <c r="H136" s="8">
        <f t="shared" si="26"/>
        <v>31.875</v>
      </c>
      <c r="J136" s="7">
        <f t="shared" si="18"/>
        <v>10.327500000000001</v>
      </c>
      <c r="K136" s="7">
        <f t="shared" si="19"/>
        <v>9.9450000000000003</v>
      </c>
      <c r="L136" s="7">
        <f t="shared" si="27"/>
        <v>9.5625</v>
      </c>
      <c r="N136" s="7">
        <f t="shared" si="20"/>
        <v>17.212499999999999</v>
      </c>
      <c r="O136" s="7">
        <f t="shared" si="21"/>
        <v>16.574999999999999</v>
      </c>
      <c r="P136" s="7">
        <f t="shared" si="28"/>
        <v>15.9375</v>
      </c>
      <c r="R136" s="7">
        <f t="shared" si="22"/>
        <v>34.424999999999997</v>
      </c>
      <c r="S136" s="7">
        <f t="shared" si="23"/>
        <v>33.15</v>
      </c>
      <c r="T136" s="7">
        <f t="shared" si="29"/>
        <v>31.875</v>
      </c>
    </row>
    <row r="137" spans="1:20" s="7" customFormat="1" x14ac:dyDescent="0.2">
      <c r="A137" s="7" t="s">
        <v>175</v>
      </c>
      <c r="C137" s="7" t="s">
        <v>136</v>
      </c>
      <c r="D137" s="7">
        <v>235</v>
      </c>
      <c r="E137" s="7">
        <v>50</v>
      </c>
      <c r="F137" s="8">
        <f t="shared" si="24"/>
        <v>19.035000000000004</v>
      </c>
      <c r="G137" s="8">
        <f t="shared" si="25"/>
        <v>30.55</v>
      </c>
      <c r="H137" s="8">
        <f t="shared" si="26"/>
        <v>58.75</v>
      </c>
      <c r="J137" s="7">
        <f t="shared" si="18"/>
        <v>19.035000000000004</v>
      </c>
      <c r="K137" s="7">
        <f t="shared" si="19"/>
        <v>18.330000000000002</v>
      </c>
      <c r="L137" s="7">
        <f t="shared" si="27"/>
        <v>17.625</v>
      </c>
      <c r="N137" s="7">
        <f t="shared" si="20"/>
        <v>31.725000000000001</v>
      </c>
      <c r="O137" s="7">
        <f t="shared" si="21"/>
        <v>30.55</v>
      </c>
      <c r="P137" s="7">
        <f t="shared" si="28"/>
        <v>29.375</v>
      </c>
      <c r="R137" s="7">
        <f t="shared" si="22"/>
        <v>63.45</v>
      </c>
      <c r="S137" s="7">
        <f t="shared" si="23"/>
        <v>61.1</v>
      </c>
      <c r="T137" s="7">
        <f t="shared" si="29"/>
        <v>58.75</v>
      </c>
    </row>
    <row r="138" spans="1:20" s="7" customFormat="1" x14ac:dyDescent="0.2">
      <c r="A138" s="7" t="s">
        <v>183</v>
      </c>
      <c r="C138" s="7" t="s">
        <v>137</v>
      </c>
      <c r="D138" s="7">
        <v>370</v>
      </c>
      <c r="E138" s="7">
        <v>100</v>
      </c>
      <c r="F138" s="8">
        <f t="shared" si="24"/>
        <v>14.985000000000003</v>
      </c>
      <c r="G138" s="8">
        <f t="shared" si="25"/>
        <v>24.050000000000004</v>
      </c>
      <c r="H138" s="8">
        <f t="shared" si="26"/>
        <v>46.25</v>
      </c>
      <c r="J138" s="7">
        <f t="shared" si="18"/>
        <v>14.985000000000003</v>
      </c>
      <c r="K138" s="7">
        <f t="shared" si="19"/>
        <v>14.430000000000001</v>
      </c>
      <c r="L138" s="7">
        <f t="shared" si="27"/>
        <v>13.875</v>
      </c>
      <c r="N138" s="7">
        <f t="shared" si="20"/>
        <v>24.975000000000005</v>
      </c>
      <c r="O138" s="7">
        <f t="shared" si="21"/>
        <v>24.050000000000004</v>
      </c>
      <c r="P138" s="7">
        <f t="shared" si="28"/>
        <v>23.125</v>
      </c>
      <c r="R138" s="7">
        <f t="shared" si="22"/>
        <v>49.95000000000001</v>
      </c>
      <c r="S138" s="7">
        <f t="shared" si="23"/>
        <v>48.100000000000009</v>
      </c>
      <c r="T138" s="7">
        <f t="shared" si="29"/>
        <v>46.25</v>
      </c>
    </row>
    <row r="139" spans="1:20" s="7" customFormat="1" x14ac:dyDescent="0.2">
      <c r="A139" s="7" t="s">
        <v>168</v>
      </c>
      <c r="C139" s="7" t="s">
        <v>138</v>
      </c>
      <c r="D139" s="7">
        <v>145</v>
      </c>
      <c r="E139" s="7">
        <v>120</v>
      </c>
      <c r="F139" s="8">
        <f t="shared" si="24"/>
        <v>4.8937500000000007</v>
      </c>
      <c r="G139" s="8">
        <f t="shared" si="25"/>
        <v>7.8541666666666661</v>
      </c>
      <c r="H139" s="8">
        <f t="shared" si="26"/>
        <v>15.104166666666664</v>
      </c>
      <c r="J139" s="7">
        <f t="shared" si="18"/>
        <v>4.8937500000000007</v>
      </c>
      <c r="K139" s="7">
        <f t="shared" si="19"/>
        <v>4.7125000000000004</v>
      </c>
      <c r="L139" s="7">
        <f t="shared" si="27"/>
        <v>4.53125</v>
      </c>
      <c r="N139" s="7">
        <f t="shared" si="20"/>
        <v>8.15625</v>
      </c>
      <c r="O139" s="7">
        <f t="shared" si="21"/>
        <v>7.8541666666666661</v>
      </c>
      <c r="P139" s="7">
        <f t="shared" si="28"/>
        <v>7.5520833333333321</v>
      </c>
      <c r="R139" s="7">
        <f t="shared" si="22"/>
        <v>16.3125</v>
      </c>
      <c r="S139" s="7">
        <f t="shared" si="23"/>
        <v>15.708333333333332</v>
      </c>
      <c r="T139" s="7">
        <f t="shared" si="29"/>
        <v>15.104166666666664</v>
      </c>
    </row>
    <row r="140" spans="1:20" s="7" customFormat="1" x14ac:dyDescent="0.2">
      <c r="A140" s="7" t="s">
        <v>170</v>
      </c>
      <c r="C140" s="7" t="s">
        <v>139</v>
      </c>
      <c r="D140" s="7">
        <v>245</v>
      </c>
      <c r="E140" s="7">
        <v>100</v>
      </c>
      <c r="F140" s="8">
        <f t="shared" si="24"/>
        <v>9.9225000000000012</v>
      </c>
      <c r="G140" s="8">
        <f t="shared" si="25"/>
        <v>15.925000000000002</v>
      </c>
      <c r="H140" s="8">
        <f t="shared" si="26"/>
        <v>30.625</v>
      </c>
      <c r="J140" s="7">
        <f t="shared" si="18"/>
        <v>9.9225000000000012</v>
      </c>
      <c r="K140" s="7">
        <f t="shared" si="19"/>
        <v>9.5550000000000015</v>
      </c>
      <c r="L140" s="7">
        <f t="shared" si="27"/>
        <v>9.1875</v>
      </c>
      <c r="N140" s="7">
        <f t="shared" si="20"/>
        <v>16.537500000000001</v>
      </c>
      <c r="O140" s="7">
        <f t="shared" si="21"/>
        <v>15.925000000000002</v>
      </c>
      <c r="P140" s="7">
        <f t="shared" si="28"/>
        <v>15.3125</v>
      </c>
      <c r="R140" s="7">
        <f t="shared" si="22"/>
        <v>33.075000000000003</v>
      </c>
      <c r="S140" s="7">
        <f t="shared" si="23"/>
        <v>31.850000000000005</v>
      </c>
      <c r="T140" s="7">
        <f t="shared" si="29"/>
        <v>30.625</v>
      </c>
    </row>
    <row r="141" spans="1:20" s="7" customFormat="1" x14ac:dyDescent="0.2">
      <c r="A141" s="7" t="s">
        <v>213</v>
      </c>
      <c r="C141" s="7" t="s">
        <v>140</v>
      </c>
      <c r="D141" s="7">
        <v>310</v>
      </c>
      <c r="E141" s="7">
        <v>100</v>
      </c>
      <c r="F141" s="8">
        <f t="shared" si="24"/>
        <v>12.555000000000001</v>
      </c>
      <c r="G141" s="8">
        <f t="shared" si="25"/>
        <v>20.150000000000002</v>
      </c>
      <c r="H141" s="8">
        <f t="shared" si="26"/>
        <v>38.75</v>
      </c>
      <c r="J141" s="7">
        <f t="shared" si="18"/>
        <v>12.555000000000001</v>
      </c>
      <c r="K141" s="7">
        <f t="shared" si="19"/>
        <v>12.09</v>
      </c>
      <c r="L141" s="7">
        <f t="shared" si="27"/>
        <v>11.625</v>
      </c>
      <c r="N141" s="7">
        <f t="shared" si="20"/>
        <v>20.925000000000004</v>
      </c>
      <c r="O141" s="7">
        <f t="shared" si="21"/>
        <v>20.150000000000002</v>
      </c>
      <c r="P141" s="7">
        <f t="shared" si="28"/>
        <v>19.375</v>
      </c>
      <c r="R141" s="7">
        <f t="shared" si="22"/>
        <v>41.850000000000009</v>
      </c>
      <c r="S141" s="7">
        <f t="shared" si="23"/>
        <v>40.300000000000004</v>
      </c>
      <c r="T141" s="7">
        <f t="shared" si="29"/>
        <v>38.75</v>
      </c>
    </row>
    <row r="142" spans="1:20" s="3" customFormat="1" x14ac:dyDescent="0.2">
      <c r="A142" s="3" t="s">
        <v>203</v>
      </c>
      <c r="C142" s="2" t="s">
        <v>141</v>
      </c>
      <c r="D142" s="3">
        <v>460</v>
      </c>
      <c r="E142" s="3">
        <v>100</v>
      </c>
      <c r="F142" s="4">
        <f t="shared" si="24"/>
        <v>18.63</v>
      </c>
      <c r="G142" s="4">
        <f t="shared" si="25"/>
        <v>29.9</v>
      </c>
      <c r="H142" s="4">
        <f t="shared" si="26"/>
        <v>57.5</v>
      </c>
      <c r="J142" s="3">
        <f t="shared" si="18"/>
        <v>18.63</v>
      </c>
      <c r="K142" s="3">
        <f t="shared" si="19"/>
        <v>17.939999999999998</v>
      </c>
      <c r="L142" s="3">
        <f t="shared" si="27"/>
        <v>17.25</v>
      </c>
      <c r="N142" s="3">
        <f t="shared" si="20"/>
        <v>31.05</v>
      </c>
      <c r="O142" s="3">
        <f t="shared" si="21"/>
        <v>29.9</v>
      </c>
      <c r="P142" s="3">
        <f t="shared" si="28"/>
        <v>28.75</v>
      </c>
      <c r="R142" s="3">
        <f t="shared" si="22"/>
        <v>62.1</v>
      </c>
      <c r="S142" s="3">
        <f t="shared" si="23"/>
        <v>59.8</v>
      </c>
      <c r="T142" s="3">
        <f t="shared" si="29"/>
        <v>57.5</v>
      </c>
    </row>
    <row r="143" spans="1:20" s="3" customFormat="1" x14ac:dyDescent="0.2">
      <c r="A143" s="3" t="s">
        <v>208</v>
      </c>
      <c r="C143" s="2" t="s">
        <v>142</v>
      </c>
      <c r="D143" s="3">
        <v>295</v>
      </c>
      <c r="E143" s="3">
        <v>100</v>
      </c>
      <c r="F143" s="4">
        <f t="shared" si="24"/>
        <v>11.947500000000002</v>
      </c>
      <c r="G143" s="4">
        <f t="shared" si="25"/>
        <v>19.175000000000001</v>
      </c>
      <c r="H143" s="4">
        <f t="shared" si="26"/>
        <v>36.875</v>
      </c>
      <c r="J143" s="3">
        <f t="shared" si="18"/>
        <v>11.947500000000002</v>
      </c>
      <c r="K143" s="3">
        <f t="shared" si="19"/>
        <v>11.505000000000001</v>
      </c>
      <c r="L143" s="3">
        <f t="shared" si="27"/>
        <v>11.0625</v>
      </c>
      <c r="N143" s="3">
        <f t="shared" si="20"/>
        <v>19.912500000000001</v>
      </c>
      <c r="O143" s="3">
        <f t="shared" si="21"/>
        <v>19.175000000000001</v>
      </c>
      <c r="P143" s="3">
        <f t="shared" si="28"/>
        <v>18.4375</v>
      </c>
      <c r="R143" s="3">
        <f t="shared" si="22"/>
        <v>39.825000000000003</v>
      </c>
      <c r="S143" s="3">
        <f t="shared" si="23"/>
        <v>38.35</v>
      </c>
      <c r="T143" s="3">
        <f t="shared" si="29"/>
        <v>36.875</v>
      </c>
    </row>
    <row r="144" spans="1:20" s="3" customFormat="1" x14ac:dyDescent="0.2">
      <c r="A144" s="3" t="s">
        <v>191</v>
      </c>
      <c r="C144" s="2" t="s">
        <v>143</v>
      </c>
      <c r="D144" s="3">
        <v>118</v>
      </c>
      <c r="E144" s="3">
        <v>30</v>
      </c>
      <c r="F144" s="4">
        <f t="shared" si="24"/>
        <v>15.930000000000001</v>
      </c>
      <c r="G144" s="4">
        <f t="shared" si="25"/>
        <v>25.566666666666666</v>
      </c>
      <c r="H144" s="4">
        <f t="shared" si="26"/>
        <v>49.166666666666657</v>
      </c>
      <c r="J144" s="3">
        <f t="shared" si="18"/>
        <v>15.930000000000001</v>
      </c>
      <c r="K144" s="3">
        <f t="shared" si="19"/>
        <v>15.34</v>
      </c>
      <c r="L144" s="3">
        <f t="shared" si="27"/>
        <v>14.749999999999998</v>
      </c>
      <c r="N144" s="3">
        <f t="shared" si="20"/>
        <v>26.550000000000004</v>
      </c>
      <c r="O144" s="3">
        <f t="shared" si="21"/>
        <v>25.566666666666666</v>
      </c>
      <c r="P144" s="3">
        <f t="shared" si="28"/>
        <v>24.583333333333329</v>
      </c>
      <c r="R144" s="3">
        <f t="shared" si="22"/>
        <v>53.100000000000009</v>
      </c>
      <c r="S144" s="3">
        <f t="shared" si="23"/>
        <v>51.133333333333333</v>
      </c>
      <c r="T144" s="3">
        <f t="shared" si="29"/>
        <v>49.166666666666657</v>
      </c>
    </row>
    <row r="145" spans="1:20" s="3" customFormat="1" x14ac:dyDescent="0.2">
      <c r="A145" s="3" t="s">
        <v>172</v>
      </c>
      <c r="C145" s="2" t="s">
        <v>144</v>
      </c>
      <c r="D145" s="3">
        <v>195</v>
      </c>
      <c r="E145" s="3">
        <v>70</v>
      </c>
      <c r="F145" s="4">
        <f t="shared" si="24"/>
        <v>11.282142857142857</v>
      </c>
      <c r="G145" s="4">
        <f t="shared" si="25"/>
        <v>18.107142857142858</v>
      </c>
      <c r="H145" s="4">
        <f t="shared" si="26"/>
        <v>34.821428571428569</v>
      </c>
      <c r="J145" s="3">
        <f t="shared" si="18"/>
        <v>11.282142857142857</v>
      </c>
      <c r="K145" s="3">
        <f t="shared" si="19"/>
        <v>10.864285714285714</v>
      </c>
      <c r="L145" s="3">
        <f t="shared" si="27"/>
        <v>10.446428571428569</v>
      </c>
      <c r="N145" s="3">
        <f t="shared" si="20"/>
        <v>18.803571428571427</v>
      </c>
      <c r="O145" s="3">
        <f t="shared" si="21"/>
        <v>18.107142857142858</v>
      </c>
      <c r="P145" s="3">
        <f t="shared" si="28"/>
        <v>17.410714285714285</v>
      </c>
      <c r="R145" s="3">
        <f t="shared" si="22"/>
        <v>37.607142857142854</v>
      </c>
      <c r="S145" s="3">
        <f t="shared" si="23"/>
        <v>36.214285714285715</v>
      </c>
      <c r="T145" s="3">
        <f t="shared" si="29"/>
        <v>34.821428571428569</v>
      </c>
    </row>
    <row r="146" spans="1:20" s="3" customFormat="1" x14ac:dyDescent="0.2">
      <c r="A146" s="3" t="s">
        <v>214</v>
      </c>
      <c r="C146" s="2" t="s">
        <v>145</v>
      </c>
      <c r="D146" s="3">
        <v>140</v>
      </c>
      <c r="E146" s="3">
        <v>100</v>
      </c>
      <c r="F146" s="4">
        <f t="shared" si="24"/>
        <v>5.67</v>
      </c>
      <c r="G146" s="4">
        <f t="shared" si="25"/>
        <v>9.1</v>
      </c>
      <c r="H146" s="4">
        <f t="shared" si="26"/>
        <v>17.5</v>
      </c>
      <c r="J146" s="3">
        <f t="shared" si="18"/>
        <v>5.67</v>
      </c>
      <c r="K146" s="3">
        <f t="shared" si="19"/>
        <v>5.4599999999999991</v>
      </c>
      <c r="L146" s="3">
        <f t="shared" si="27"/>
        <v>5.25</v>
      </c>
      <c r="N146" s="3">
        <f t="shared" si="20"/>
        <v>9.4499999999999993</v>
      </c>
      <c r="O146" s="3">
        <f t="shared" si="21"/>
        <v>9.1</v>
      </c>
      <c r="P146" s="3">
        <f t="shared" si="28"/>
        <v>8.75</v>
      </c>
      <c r="R146" s="3">
        <f t="shared" si="22"/>
        <v>18.899999999999999</v>
      </c>
      <c r="S146" s="3">
        <f t="shared" si="23"/>
        <v>18.2</v>
      </c>
      <c r="T146" s="3">
        <f t="shared" si="29"/>
        <v>17.5</v>
      </c>
    </row>
    <row r="147" spans="1:20" s="3" customFormat="1" x14ac:dyDescent="0.2">
      <c r="A147" s="3" t="s">
        <v>202</v>
      </c>
      <c r="C147" s="2" t="s">
        <v>146</v>
      </c>
      <c r="D147" s="3">
        <v>130</v>
      </c>
      <c r="E147" s="3">
        <v>100</v>
      </c>
      <c r="F147" s="4">
        <f t="shared" si="24"/>
        <v>5.2650000000000006</v>
      </c>
      <c r="G147" s="4">
        <f t="shared" si="25"/>
        <v>8.4500000000000011</v>
      </c>
      <c r="H147" s="4">
        <f t="shared" si="26"/>
        <v>16.25</v>
      </c>
      <c r="J147" s="3">
        <f t="shared" si="18"/>
        <v>5.2650000000000006</v>
      </c>
      <c r="K147" s="3">
        <f t="shared" si="19"/>
        <v>5.07</v>
      </c>
      <c r="L147" s="3">
        <f t="shared" si="27"/>
        <v>4.875</v>
      </c>
      <c r="N147" s="3">
        <f t="shared" si="20"/>
        <v>8.7750000000000004</v>
      </c>
      <c r="O147" s="3">
        <f t="shared" si="21"/>
        <v>8.4500000000000011</v>
      </c>
      <c r="P147" s="3">
        <f t="shared" si="28"/>
        <v>8.125</v>
      </c>
      <c r="R147" s="3">
        <f t="shared" si="22"/>
        <v>17.55</v>
      </c>
      <c r="S147" s="3">
        <f t="shared" si="23"/>
        <v>16.900000000000002</v>
      </c>
      <c r="T147" s="3">
        <f t="shared" si="29"/>
        <v>16.25</v>
      </c>
    </row>
    <row r="148" spans="1:20" s="3" customFormat="1" x14ac:dyDescent="0.2">
      <c r="A148" s="3" t="s">
        <v>173</v>
      </c>
      <c r="C148" s="2" t="s">
        <v>147</v>
      </c>
      <c r="D148" s="3">
        <v>125</v>
      </c>
      <c r="E148" s="3">
        <v>100</v>
      </c>
      <c r="F148" s="4">
        <f t="shared" si="24"/>
        <v>5.0625</v>
      </c>
      <c r="G148" s="4">
        <f t="shared" si="25"/>
        <v>8.125</v>
      </c>
      <c r="H148" s="4">
        <f t="shared" si="26"/>
        <v>15.625</v>
      </c>
      <c r="J148" s="3">
        <f t="shared" si="18"/>
        <v>5.0625</v>
      </c>
      <c r="K148" s="3">
        <f t="shared" si="19"/>
        <v>4.875</v>
      </c>
      <c r="L148" s="3">
        <f t="shared" si="27"/>
        <v>4.6875</v>
      </c>
      <c r="N148" s="3">
        <f t="shared" si="20"/>
        <v>8.4375</v>
      </c>
      <c r="O148" s="3">
        <f t="shared" si="21"/>
        <v>8.125</v>
      </c>
      <c r="P148" s="3">
        <f t="shared" si="28"/>
        <v>7.8125</v>
      </c>
      <c r="R148" s="3">
        <f t="shared" si="22"/>
        <v>16.875</v>
      </c>
      <c r="S148" s="3">
        <f t="shared" si="23"/>
        <v>16.25</v>
      </c>
      <c r="T148" s="3">
        <f t="shared" si="29"/>
        <v>15.625</v>
      </c>
    </row>
    <row r="149" spans="1:20" s="3" customFormat="1" x14ac:dyDescent="0.2">
      <c r="A149" s="3" t="s">
        <v>168</v>
      </c>
      <c r="C149" s="2" t="s">
        <v>148</v>
      </c>
      <c r="D149" s="3">
        <v>460</v>
      </c>
      <c r="E149" s="3">
        <v>100</v>
      </c>
      <c r="F149" s="4">
        <f t="shared" si="24"/>
        <v>18.63</v>
      </c>
      <c r="G149" s="4">
        <f t="shared" si="25"/>
        <v>29.9</v>
      </c>
      <c r="H149" s="4">
        <f t="shared" si="26"/>
        <v>57.5</v>
      </c>
      <c r="J149" s="3">
        <f t="shared" si="18"/>
        <v>18.63</v>
      </c>
      <c r="K149" s="3">
        <f t="shared" si="19"/>
        <v>17.939999999999998</v>
      </c>
      <c r="L149" s="3">
        <f t="shared" si="27"/>
        <v>17.25</v>
      </c>
      <c r="N149" s="3">
        <f t="shared" si="20"/>
        <v>31.05</v>
      </c>
      <c r="O149" s="3">
        <f t="shared" si="21"/>
        <v>29.9</v>
      </c>
      <c r="P149" s="3">
        <f t="shared" si="28"/>
        <v>28.75</v>
      </c>
      <c r="R149" s="3">
        <f t="shared" si="22"/>
        <v>62.1</v>
      </c>
      <c r="S149" s="3">
        <f t="shared" si="23"/>
        <v>59.8</v>
      </c>
      <c r="T149" s="3">
        <f t="shared" si="29"/>
        <v>57.5</v>
      </c>
    </row>
    <row r="150" spans="1:20" s="3" customFormat="1" x14ac:dyDescent="0.2">
      <c r="A150" s="3" t="s">
        <v>175</v>
      </c>
      <c r="C150" s="2" t="s">
        <v>149</v>
      </c>
      <c r="D150" s="3">
        <v>221</v>
      </c>
      <c r="E150" s="3">
        <v>100</v>
      </c>
      <c r="F150" s="4">
        <f t="shared" si="24"/>
        <v>8.9505000000000017</v>
      </c>
      <c r="G150" s="4">
        <f t="shared" si="25"/>
        <v>14.365000000000002</v>
      </c>
      <c r="H150" s="4">
        <f t="shared" si="26"/>
        <v>27.625</v>
      </c>
      <c r="J150" s="3">
        <f t="shared" si="18"/>
        <v>8.9505000000000017</v>
      </c>
      <c r="K150" s="3">
        <f t="shared" si="19"/>
        <v>8.6189999999999998</v>
      </c>
      <c r="L150" s="3">
        <f t="shared" si="27"/>
        <v>8.2875000000000014</v>
      </c>
      <c r="N150" s="3">
        <f t="shared" si="20"/>
        <v>14.9175</v>
      </c>
      <c r="O150" s="3">
        <f t="shared" si="21"/>
        <v>14.365000000000002</v>
      </c>
      <c r="P150" s="3">
        <f t="shared" si="28"/>
        <v>13.8125</v>
      </c>
      <c r="R150" s="3">
        <f t="shared" si="22"/>
        <v>29.835000000000001</v>
      </c>
      <c r="S150" s="3">
        <f t="shared" si="23"/>
        <v>28.730000000000004</v>
      </c>
      <c r="T150" s="3">
        <f t="shared" si="29"/>
        <v>27.625</v>
      </c>
    </row>
    <row r="151" spans="1:20" s="3" customFormat="1" x14ac:dyDescent="0.2">
      <c r="A151" s="3" t="s">
        <v>175</v>
      </c>
      <c r="C151" s="2" t="s">
        <v>150</v>
      </c>
      <c r="D151" s="3">
        <v>205</v>
      </c>
      <c r="E151" s="3">
        <v>100</v>
      </c>
      <c r="F151" s="4">
        <f t="shared" si="24"/>
        <v>8.3025000000000002</v>
      </c>
      <c r="G151" s="4">
        <f t="shared" si="25"/>
        <v>13.324999999999999</v>
      </c>
      <c r="H151" s="4">
        <f t="shared" si="26"/>
        <v>25.625</v>
      </c>
      <c r="J151" s="3">
        <f t="shared" si="18"/>
        <v>8.3025000000000002</v>
      </c>
      <c r="K151" s="3">
        <f t="shared" si="19"/>
        <v>7.9950000000000001</v>
      </c>
      <c r="L151" s="3">
        <f t="shared" si="27"/>
        <v>7.6875</v>
      </c>
      <c r="N151" s="3">
        <f t="shared" si="20"/>
        <v>13.8375</v>
      </c>
      <c r="O151" s="3">
        <f t="shared" si="21"/>
        <v>13.324999999999999</v>
      </c>
      <c r="P151" s="3">
        <f t="shared" si="28"/>
        <v>12.8125</v>
      </c>
      <c r="R151" s="3">
        <f t="shared" si="22"/>
        <v>27.675000000000001</v>
      </c>
      <c r="S151" s="3">
        <f t="shared" si="23"/>
        <v>26.65</v>
      </c>
      <c r="T151" s="3">
        <f t="shared" si="29"/>
        <v>25.625</v>
      </c>
    </row>
    <row r="152" spans="1:20" s="3" customFormat="1" x14ac:dyDescent="0.2">
      <c r="A152" s="3" t="s">
        <v>202</v>
      </c>
      <c r="C152" s="2" t="s">
        <v>151</v>
      </c>
      <c r="D152" s="3">
        <v>205</v>
      </c>
      <c r="E152" s="3">
        <v>100</v>
      </c>
      <c r="F152" s="4">
        <f t="shared" si="24"/>
        <v>8.3025000000000002</v>
      </c>
      <c r="G152" s="4">
        <f t="shared" si="25"/>
        <v>13.324999999999999</v>
      </c>
      <c r="H152" s="4">
        <f t="shared" si="26"/>
        <v>25.625</v>
      </c>
      <c r="J152" s="3">
        <f t="shared" si="18"/>
        <v>8.3025000000000002</v>
      </c>
      <c r="K152" s="3">
        <f t="shared" si="19"/>
        <v>7.9950000000000001</v>
      </c>
      <c r="L152" s="3">
        <f t="shared" si="27"/>
        <v>7.6875</v>
      </c>
      <c r="N152" s="3">
        <f t="shared" si="20"/>
        <v>13.8375</v>
      </c>
      <c r="O152" s="3">
        <f t="shared" si="21"/>
        <v>13.324999999999999</v>
      </c>
      <c r="P152" s="3">
        <f t="shared" si="28"/>
        <v>12.8125</v>
      </c>
      <c r="R152" s="3">
        <f t="shared" si="22"/>
        <v>27.675000000000001</v>
      </c>
      <c r="S152" s="3">
        <f t="shared" si="23"/>
        <v>26.65</v>
      </c>
      <c r="T152" s="3">
        <f t="shared" si="29"/>
        <v>25.625</v>
      </c>
    </row>
    <row r="153" spans="1:20" s="3" customFormat="1" x14ac:dyDescent="0.2">
      <c r="A153" s="3" t="s">
        <v>168</v>
      </c>
      <c r="C153" s="2" t="s">
        <v>152</v>
      </c>
      <c r="D153" s="3">
        <v>300</v>
      </c>
      <c r="E153" s="3">
        <v>100</v>
      </c>
      <c r="F153" s="4">
        <f t="shared" si="24"/>
        <v>12.150000000000002</v>
      </c>
      <c r="G153" s="4">
        <f t="shared" si="25"/>
        <v>19.5</v>
      </c>
      <c r="H153" s="4">
        <f t="shared" si="26"/>
        <v>37.5</v>
      </c>
      <c r="J153" s="3">
        <f t="shared" si="18"/>
        <v>12.150000000000002</v>
      </c>
      <c r="K153" s="3">
        <f t="shared" si="19"/>
        <v>11.700000000000001</v>
      </c>
      <c r="L153" s="3">
        <f t="shared" si="27"/>
        <v>11.25</v>
      </c>
      <c r="N153" s="3">
        <f t="shared" si="20"/>
        <v>20.250000000000004</v>
      </c>
      <c r="O153" s="3">
        <f t="shared" si="21"/>
        <v>19.5</v>
      </c>
      <c r="P153" s="3">
        <f t="shared" si="28"/>
        <v>18.75</v>
      </c>
      <c r="R153" s="3">
        <f t="shared" si="22"/>
        <v>40.500000000000007</v>
      </c>
      <c r="S153" s="3">
        <f t="shared" si="23"/>
        <v>39</v>
      </c>
      <c r="T153" s="3">
        <f t="shared" si="29"/>
        <v>37.5</v>
      </c>
    </row>
    <row r="154" spans="1:20" s="3" customFormat="1" x14ac:dyDescent="0.2">
      <c r="A154" s="3" t="s">
        <v>171</v>
      </c>
      <c r="C154" s="2" t="s">
        <v>153</v>
      </c>
      <c r="D154" s="3">
        <v>220</v>
      </c>
      <c r="E154" s="3">
        <v>60</v>
      </c>
      <c r="F154" s="4">
        <f t="shared" si="24"/>
        <v>14.850000000000001</v>
      </c>
      <c r="G154" s="4">
        <f t="shared" si="25"/>
        <v>23.833333333333332</v>
      </c>
      <c r="H154" s="4">
        <f t="shared" si="26"/>
        <v>45.833333333333329</v>
      </c>
      <c r="J154" s="3">
        <f t="shared" si="18"/>
        <v>14.850000000000001</v>
      </c>
      <c r="K154" s="3">
        <f t="shared" si="19"/>
        <v>14.3</v>
      </c>
      <c r="L154" s="3">
        <f t="shared" si="27"/>
        <v>13.75</v>
      </c>
      <c r="N154" s="3">
        <f t="shared" si="20"/>
        <v>24.75</v>
      </c>
      <c r="O154" s="3">
        <f t="shared" si="21"/>
        <v>23.833333333333332</v>
      </c>
      <c r="P154" s="3">
        <f t="shared" si="28"/>
        <v>22.916666666666664</v>
      </c>
      <c r="R154" s="3">
        <f t="shared" si="22"/>
        <v>49.5</v>
      </c>
      <c r="S154" s="3">
        <f t="shared" si="23"/>
        <v>47.666666666666664</v>
      </c>
      <c r="T154" s="3">
        <f t="shared" si="29"/>
        <v>45.833333333333329</v>
      </c>
    </row>
    <row r="155" spans="1:20" s="3" customFormat="1" x14ac:dyDescent="0.2">
      <c r="A155" s="3" t="s">
        <v>211</v>
      </c>
      <c r="C155" s="2" t="s">
        <v>154</v>
      </c>
      <c r="D155" s="3">
        <v>230</v>
      </c>
      <c r="E155" s="3">
        <v>100</v>
      </c>
      <c r="F155" s="4">
        <f t="shared" si="24"/>
        <v>9.3149999999999995</v>
      </c>
      <c r="G155" s="4">
        <f t="shared" si="25"/>
        <v>14.95</v>
      </c>
      <c r="H155" s="4">
        <f t="shared" si="26"/>
        <v>28.75</v>
      </c>
      <c r="J155" s="3">
        <f t="shared" si="18"/>
        <v>9.3149999999999995</v>
      </c>
      <c r="K155" s="3">
        <f t="shared" si="19"/>
        <v>8.9699999999999989</v>
      </c>
      <c r="L155" s="3">
        <f t="shared" si="27"/>
        <v>8.625</v>
      </c>
      <c r="N155" s="3">
        <f t="shared" si="20"/>
        <v>15.525</v>
      </c>
      <c r="O155" s="3">
        <f t="shared" si="21"/>
        <v>14.95</v>
      </c>
      <c r="P155" s="3">
        <f t="shared" si="28"/>
        <v>14.375</v>
      </c>
      <c r="R155" s="3">
        <f t="shared" si="22"/>
        <v>31.05</v>
      </c>
      <c r="S155" s="3">
        <f t="shared" si="23"/>
        <v>29.9</v>
      </c>
      <c r="T155" s="3">
        <f t="shared" si="29"/>
        <v>28.75</v>
      </c>
    </row>
    <row r="156" spans="1:20" s="3" customFormat="1" x14ac:dyDescent="0.2">
      <c r="A156" s="3" t="s">
        <v>169</v>
      </c>
      <c r="C156" s="2" t="s">
        <v>155</v>
      </c>
      <c r="D156" s="3">
        <v>200</v>
      </c>
      <c r="E156" s="3">
        <v>100</v>
      </c>
      <c r="F156" s="4">
        <f t="shared" si="24"/>
        <v>8.1000000000000014</v>
      </c>
      <c r="G156" s="4">
        <f t="shared" si="25"/>
        <v>13</v>
      </c>
      <c r="H156" s="4">
        <f t="shared" si="26"/>
        <v>25</v>
      </c>
      <c r="J156" s="3">
        <f t="shared" si="18"/>
        <v>8.1000000000000014</v>
      </c>
      <c r="K156" s="3">
        <f t="shared" si="19"/>
        <v>7.8000000000000007</v>
      </c>
      <c r="L156" s="3">
        <f t="shared" si="27"/>
        <v>7.5</v>
      </c>
      <c r="N156" s="3">
        <f t="shared" si="20"/>
        <v>13.5</v>
      </c>
      <c r="O156" s="3">
        <f t="shared" si="21"/>
        <v>13</v>
      </c>
      <c r="P156" s="3">
        <f t="shared" si="28"/>
        <v>12.5</v>
      </c>
      <c r="R156" s="3">
        <f t="shared" si="22"/>
        <v>27</v>
      </c>
      <c r="S156" s="3">
        <f t="shared" si="23"/>
        <v>26</v>
      </c>
      <c r="T156" s="3">
        <f t="shared" si="29"/>
        <v>25</v>
      </c>
    </row>
    <row r="157" spans="1:20" s="3" customFormat="1" x14ac:dyDescent="0.2">
      <c r="A157" s="3" t="s">
        <v>215</v>
      </c>
      <c r="C157" s="2" t="s">
        <v>156</v>
      </c>
      <c r="D157" s="3">
        <v>210</v>
      </c>
      <c r="E157" s="3">
        <v>80</v>
      </c>
      <c r="F157" s="4">
        <f t="shared" si="24"/>
        <v>10.631250000000001</v>
      </c>
      <c r="G157" s="4">
        <f t="shared" si="25"/>
        <v>17.0625</v>
      </c>
      <c r="H157" s="4">
        <f t="shared" si="26"/>
        <v>32.8125</v>
      </c>
      <c r="J157" s="3">
        <f t="shared" si="18"/>
        <v>10.631250000000001</v>
      </c>
      <c r="K157" s="3">
        <f t="shared" si="19"/>
        <v>10.237500000000001</v>
      </c>
      <c r="L157" s="3">
        <f t="shared" si="27"/>
        <v>9.84375</v>
      </c>
      <c r="N157" s="3">
        <f t="shared" si="20"/>
        <v>17.71875</v>
      </c>
      <c r="O157" s="3">
        <f t="shared" si="21"/>
        <v>17.0625</v>
      </c>
      <c r="P157" s="3">
        <f t="shared" si="28"/>
        <v>16.40625</v>
      </c>
      <c r="R157" s="3">
        <f t="shared" si="22"/>
        <v>35.4375</v>
      </c>
      <c r="S157" s="3">
        <f t="shared" si="23"/>
        <v>34.125</v>
      </c>
      <c r="T157" s="3">
        <f t="shared" si="29"/>
        <v>32.8125</v>
      </c>
    </row>
    <row r="158" spans="1:20" s="3" customFormat="1" x14ac:dyDescent="0.2">
      <c r="A158" s="3" t="s">
        <v>191</v>
      </c>
      <c r="C158" s="2" t="s">
        <v>157</v>
      </c>
      <c r="D158" s="3">
        <v>260</v>
      </c>
      <c r="E158" s="3">
        <v>100</v>
      </c>
      <c r="F158" s="4">
        <f t="shared" si="24"/>
        <v>10.530000000000001</v>
      </c>
      <c r="G158" s="4">
        <f t="shared" si="25"/>
        <v>16.900000000000002</v>
      </c>
      <c r="H158" s="4">
        <f t="shared" si="26"/>
        <v>32.5</v>
      </c>
      <c r="J158" s="3">
        <f t="shared" si="18"/>
        <v>10.530000000000001</v>
      </c>
      <c r="K158" s="3">
        <f t="shared" si="19"/>
        <v>10.14</v>
      </c>
      <c r="L158" s="3">
        <f t="shared" si="27"/>
        <v>9.75</v>
      </c>
      <c r="N158" s="3">
        <f t="shared" si="20"/>
        <v>17.55</v>
      </c>
      <c r="O158" s="3">
        <f t="shared" si="21"/>
        <v>16.900000000000002</v>
      </c>
      <c r="P158" s="3">
        <f t="shared" si="28"/>
        <v>16.25</v>
      </c>
      <c r="R158" s="3">
        <f t="shared" si="22"/>
        <v>35.1</v>
      </c>
      <c r="S158" s="3">
        <f t="shared" si="23"/>
        <v>33.800000000000004</v>
      </c>
      <c r="T158" s="3">
        <f t="shared" si="29"/>
        <v>32.5</v>
      </c>
    </row>
    <row r="159" spans="1:20" s="3" customFormat="1" x14ac:dyDescent="0.2">
      <c r="A159" s="3" t="s">
        <v>169</v>
      </c>
      <c r="C159" s="2" t="s">
        <v>158</v>
      </c>
      <c r="D159" s="3">
        <v>150</v>
      </c>
      <c r="E159" s="3">
        <v>100</v>
      </c>
      <c r="F159" s="4">
        <f t="shared" si="24"/>
        <v>6.0750000000000011</v>
      </c>
      <c r="G159" s="4">
        <f t="shared" si="25"/>
        <v>9.75</v>
      </c>
      <c r="H159" s="4">
        <f t="shared" si="26"/>
        <v>18.75</v>
      </c>
      <c r="J159" s="3">
        <f t="shared" si="18"/>
        <v>6.0750000000000011</v>
      </c>
      <c r="K159" s="3">
        <f t="shared" si="19"/>
        <v>5.8500000000000005</v>
      </c>
      <c r="L159" s="3">
        <f t="shared" si="27"/>
        <v>5.625</v>
      </c>
      <c r="N159" s="3">
        <f t="shared" si="20"/>
        <v>10.125000000000002</v>
      </c>
      <c r="O159" s="3">
        <f t="shared" si="21"/>
        <v>9.75</v>
      </c>
      <c r="P159" s="3">
        <f t="shared" si="28"/>
        <v>9.375</v>
      </c>
      <c r="R159" s="3">
        <f t="shared" si="22"/>
        <v>20.250000000000004</v>
      </c>
      <c r="S159" s="3">
        <f t="shared" si="23"/>
        <v>19.5</v>
      </c>
      <c r="T159" s="3">
        <f t="shared" si="29"/>
        <v>18.75</v>
      </c>
    </row>
    <row r="160" spans="1:20" s="3" customFormat="1" x14ac:dyDescent="0.2">
      <c r="A160" s="3" t="s">
        <v>168</v>
      </c>
      <c r="C160" s="2" t="s">
        <v>159</v>
      </c>
      <c r="D160" s="3">
        <v>270</v>
      </c>
      <c r="E160" s="3">
        <v>100</v>
      </c>
      <c r="F160" s="4">
        <f t="shared" si="24"/>
        <v>10.935000000000002</v>
      </c>
      <c r="G160" s="4">
        <f t="shared" si="25"/>
        <v>17.55</v>
      </c>
      <c r="H160" s="4">
        <f t="shared" si="26"/>
        <v>33.75</v>
      </c>
      <c r="J160" s="3">
        <f t="shared" si="18"/>
        <v>10.935000000000002</v>
      </c>
      <c r="K160" s="3">
        <f t="shared" si="19"/>
        <v>10.530000000000001</v>
      </c>
      <c r="L160" s="3">
        <f t="shared" si="27"/>
        <v>10.125</v>
      </c>
      <c r="N160" s="3">
        <f t="shared" si="20"/>
        <v>18.225000000000001</v>
      </c>
      <c r="O160" s="3">
        <f t="shared" si="21"/>
        <v>17.55</v>
      </c>
      <c r="P160" s="3">
        <f t="shared" si="28"/>
        <v>16.875</v>
      </c>
      <c r="R160" s="3">
        <f t="shared" si="22"/>
        <v>36.450000000000003</v>
      </c>
      <c r="S160" s="3">
        <f t="shared" si="23"/>
        <v>35.1</v>
      </c>
      <c r="T160" s="3">
        <f t="shared" si="29"/>
        <v>33.75</v>
      </c>
    </row>
    <row r="161" spans="1:20" s="3" customFormat="1" x14ac:dyDescent="0.2">
      <c r="A161" s="3" t="s">
        <v>169</v>
      </c>
      <c r="C161" s="2" t="s">
        <v>160</v>
      </c>
      <c r="D161" s="3">
        <v>255</v>
      </c>
      <c r="E161" s="3">
        <v>75</v>
      </c>
      <c r="F161" s="4">
        <f t="shared" si="24"/>
        <v>13.77</v>
      </c>
      <c r="G161" s="4">
        <f t="shared" si="25"/>
        <v>22.1</v>
      </c>
      <c r="H161" s="4">
        <f t="shared" si="26"/>
        <v>42.5</v>
      </c>
      <c r="J161" s="3">
        <f t="shared" si="18"/>
        <v>13.77</v>
      </c>
      <c r="K161" s="3">
        <f t="shared" si="19"/>
        <v>13.26</v>
      </c>
      <c r="L161" s="3">
        <f t="shared" si="27"/>
        <v>12.75</v>
      </c>
      <c r="N161" s="3">
        <f t="shared" si="20"/>
        <v>22.95</v>
      </c>
      <c r="O161" s="3">
        <f t="shared" si="21"/>
        <v>22.1</v>
      </c>
      <c r="P161" s="3">
        <f t="shared" si="28"/>
        <v>21.25</v>
      </c>
      <c r="R161" s="3">
        <f t="shared" si="22"/>
        <v>45.9</v>
      </c>
      <c r="S161" s="3">
        <f t="shared" si="23"/>
        <v>44.2</v>
      </c>
      <c r="T161" s="3">
        <f t="shared" si="29"/>
        <v>42.5</v>
      </c>
    </row>
    <row r="162" spans="1:20" s="3" customFormat="1" x14ac:dyDescent="0.2">
      <c r="A162" s="3" t="s">
        <v>216</v>
      </c>
      <c r="C162" s="2" t="s">
        <v>161</v>
      </c>
      <c r="D162" s="3">
        <v>280</v>
      </c>
      <c r="E162" s="3">
        <v>90</v>
      </c>
      <c r="F162" s="4">
        <f t="shared" si="24"/>
        <v>12.600000000000001</v>
      </c>
      <c r="G162" s="4">
        <f t="shared" si="25"/>
        <v>20.222222222222221</v>
      </c>
      <c r="H162" s="4">
        <f t="shared" si="26"/>
        <v>38.888888888888886</v>
      </c>
      <c r="J162" s="3">
        <f t="shared" si="18"/>
        <v>12.600000000000001</v>
      </c>
      <c r="K162" s="3">
        <f t="shared" si="19"/>
        <v>12.133333333333333</v>
      </c>
      <c r="L162" s="3">
        <f t="shared" si="27"/>
        <v>11.666666666666666</v>
      </c>
      <c r="N162" s="3">
        <f t="shared" si="20"/>
        <v>21</v>
      </c>
      <c r="O162" s="3">
        <f t="shared" si="21"/>
        <v>20.222222222222221</v>
      </c>
      <c r="P162" s="3">
        <f t="shared" si="28"/>
        <v>19.444444444444443</v>
      </c>
      <c r="R162" s="3">
        <f t="shared" si="22"/>
        <v>42</v>
      </c>
      <c r="S162" s="3">
        <f t="shared" si="23"/>
        <v>40.444444444444443</v>
      </c>
      <c r="T162" s="3">
        <f t="shared" si="29"/>
        <v>38.888888888888886</v>
      </c>
    </row>
    <row r="163" spans="1:20" s="3" customFormat="1" x14ac:dyDescent="0.2">
      <c r="A163" s="3" t="s">
        <v>178</v>
      </c>
      <c r="C163" s="2" t="s">
        <v>162</v>
      </c>
      <c r="D163" s="3">
        <v>280</v>
      </c>
      <c r="E163" s="3">
        <v>90</v>
      </c>
      <c r="F163" s="4">
        <f t="shared" si="24"/>
        <v>12.600000000000001</v>
      </c>
      <c r="G163" s="4">
        <f t="shared" si="25"/>
        <v>20.222222222222221</v>
      </c>
      <c r="H163" s="4">
        <f t="shared" si="26"/>
        <v>38.888888888888886</v>
      </c>
      <c r="J163" s="3">
        <f t="shared" si="18"/>
        <v>12.600000000000001</v>
      </c>
      <c r="K163" s="3">
        <f t="shared" si="19"/>
        <v>12.133333333333333</v>
      </c>
      <c r="L163" s="3">
        <f t="shared" si="27"/>
        <v>11.666666666666666</v>
      </c>
      <c r="N163" s="3">
        <f t="shared" si="20"/>
        <v>21</v>
      </c>
      <c r="O163" s="3">
        <f t="shared" si="21"/>
        <v>20.222222222222221</v>
      </c>
      <c r="P163" s="3">
        <f t="shared" si="28"/>
        <v>19.444444444444443</v>
      </c>
      <c r="R163" s="3">
        <f t="shared" si="22"/>
        <v>42</v>
      </c>
      <c r="S163" s="3">
        <f t="shared" si="23"/>
        <v>40.444444444444443</v>
      </c>
      <c r="T163" s="3">
        <f t="shared" si="29"/>
        <v>38.888888888888886</v>
      </c>
    </row>
    <row r="164" spans="1:20" s="3" customFormat="1" x14ac:dyDescent="0.2">
      <c r="A164" s="3" t="s">
        <v>170</v>
      </c>
      <c r="C164" s="2" t="s">
        <v>163</v>
      </c>
      <c r="D164" s="3">
        <v>365</v>
      </c>
      <c r="E164" s="3">
        <v>50</v>
      </c>
      <c r="F164" s="4">
        <f t="shared" si="24"/>
        <v>29.565000000000001</v>
      </c>
      <c r="G164" s="4">
        <f t="shared" si="25"/>
        <v>47.45</v>
      </c>
      <c r="H164" s="4">
        <f t="shared" si="26"/>
        <v>91.25</v>
      </c>
      <c r="J164" s="3">
        <f t="shared" si="18"/>
        <v>29.565000000000001</v>
      </c>
      <c r="K164" s="3">
        <f t="shared" si="19"/>
        <v>28.47</v>
      </c>
      <c r="L164" s="3">
        <f t="shared" si="27"/>
        <v>27.375</v>
      </c>
      <c r="N164" s="3">
        <f t="shared" si="20"/>
        <v>49.275000000000006</v>
      </c>
      <c r="O164" s="3">
        <f t="shared" si="21"/>
        <v>47.45</v>
      </c>
      <c r="P164" s="3">
        <f t="shared" si="28"/>
        <v>45.625</v>
      </c>
      <c r="R164" s="3">
        <f t="shared" si="22"/>
        <v>98.550000000000011</v>
      </c>
      <c r="S164" s="3">
        <f t="shared" si="23"/>
        <v>94.9</v>
      </c>
      <c r="T164" s="3">
        <f t="shared" si="29"/>
        <v>91.25</v>
      </c>
    </row>
    <row r="165" spans="1:20" s="3" customFormat="1" x14ac:dyDescent="0.2">
      <c r="A165" s="3" t="s">
        <v>199</v>
      </c>
      <c r="C165" s="2" t="s">
        <v>164</v>
      </c>
      <c r="D165" s="3">
        <v>125</v>
      </c>
      <c r="E165" s="3">
        <v>100</v>
      </c>
      <c r="F165" s="4">
        <f t="shared" si="24"/>
        <v>5.0625</v>
      </c>
      <c r="G165" s="4">
        <f t="shared" si="25"/>
        <v>8.125</v>
      </c>
      <c r="H165" s="4">
        <f t="shared" si="26"/>
        <v>15.625</v>
      </c>
      <c r="J165" s="3">
        <f t="shared" si="18"/>
        <v>5.0625</v>
      </c>
      <c r="K165" s="3">
        <f t="shared" si="19"/>
        <v>4.875</v>
      </c>
      <c r="L165" s="3">
        <f t="shared" si="27"/>
        <v>4.6875</v>
      </c>
      <c r="N165" s="3">
        <f t="shared" si="20"/>
        <v>8.4375</v>
      </c>
      <c r="O165" s="3">
        <f t="shared" si="21"/>
        <v>8.125</v>
      </c>
      <c r="P165" s="3">
        <f t="shared" si="28"/>
        <v>7.8125</v>
      </c>
      <c r="R165" s="3">
        <f t="shared" si="22"/>
        <v>16.875</v>
      </c>
      <c r="S165" s="3">
        <f t="shared" si="23"/>
        <v>16.25</v>
      </c>
      <c r="T165" s="3">
        <f t="shared" si="29"/>
        <v>15.625</v>
      </c>
    </row>
    <row r="166" spans="1:20" s="3" customFormat="1" x14ac:dyDescent="0.2">
      <c r="A166" s="3" t="s">
        <v>215</v>
      </c>
      <c r="C166" s="2" t="s">
        <v>165</v>
      </c>
      <c r="D166" s="3">
        <v>130</v>
      </c>
      <c r="E166" s="3">
        <v>60</v>
      </c>
      <c r="F166" s="4">
        <f t="shared" si="24"/>
        <v>8.7749999999999986</v>
      </c>
      <c r="G166" s="4">
        <f t="shared" si="25"/>
        <v>14.083333333333332</v>
      </c>
      <c r="H166" s="4">
        <f t="shared" si="26"/>
        <v>27.083333333333329</v>
      </c>
      <c r="J166" s="3">
        <f t="shared" si="18"/>
        <v>8.7749999999999986</v>
      </c>
      <c r="K166" s="3">
        <f t="shared" si="19"/>
        <v>8.4499999999999993</v>
      </c>
      <c r="L166" s="3">
        <f t="shared" si="27"/>
        <v>8.125</v>
      </c>
      <c r="N166" s="3">
        <f t="shared" si="20"/>
        <v>14.625</v>
      </c>
      <c r="O166" s="3">
        <f t="shared" si="21"/>
        <v>14.083333333333332</v>
      </c>
      <c r="P166" s="3">
        <f t="shared" si="28"/>
        <v>13.541666666666664</v>
      </c>
      <c r="R166" s="3">
        <f t="shared" si="22"/>
        <v>29.25</v>
      </c>
      <c r="S166" s="3">
        <f t="shared" si="23"/>
        <v>28.166666666666664</v>
      </c>
      <c r="T166" s="3">
        <f t="shared" si="29"/>
        <v>27.083333333333329</v>
      </c>
    </row>
    <row r="167" spans="1:20" s="3" customFormat="1" x14ac:dyDescent="0.2">
      <c r="A167" s="3" t="s">
        <v>170</v>
      </c>
      <c r="C167" s="2" t="s">
        <v>166</v>
      </c>
      <c r="D167" s="3">
        <v>250</v>
      </c>
      <c r="E167" s="3">
        <v>100</v>
      </c>
      <c r="F167" s="4">
        <f t="shared" si="24"/>
        <v>10.125</v>
      </c>
      <c r="G167" s="4">
        <f t="shared" si="25"/>
        <v>16.25</v>
      </c>
      <c r="H167" s="4">
        <f t="shared" si="26"/>
        <v>31.25</v>
      </c>
      <c r="J167" s="3">
        <f t="shared" si="18"/>
        <v>10.125</v>
      </c>
      <c r="K167" s="3">
        <f t="shared" si="19"/>
        <v>9.75</v>
      </c>
      <c r="L167" s="3">
        <f t="shared" si="27"/>
        <v>9.375</v>
      </c>
      <c r="N167" s="3">
        <f t="shared" si="20"/>
        <v>16.875</v>
      </c>
      <c r="O167" s="3">
        <f t="shared" si="21"/>
        <v>16.25</v>
      </c>
      <c r="P167" s="3">
        <f t="shared" si="28"/>
        <v>15.625</v>
      </c>
      <c r="R167" s="3">
        <f t="shared" si="22"/>
        <v>33.75</v>
      </c>
      <c r="S167" s="3">
        <f t="shared" si="23"/>
        <v>32.5</v>
      </c>
      <c r="T167" s="3">
        <f t="shared" si="29"/>
        <v>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Miguel Sánchez-Guerrero Martín de la Mota</cp:lastModifiedBy>
  <cp:revision/>
  <dcterms:created xsi:type="dcterms:W3CDTF">2025-12-04T15:03:46Z</dcterms:created>
  <dcterms:modified xsi:type="dcterms:W3CDTF">2025-12-08T17:43:03Z</dcterms:modified>
  <cp:category/>
  <cp:contentStatus/>
</cp:coreProperties>
</file>